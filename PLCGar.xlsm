
<file path=[Content_Types].xml><?xml version="1.0" encoding="utf-8"?>
<Types xmlns="http://schemas.openxmlformats.org/package/2006/content-types">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36.xml" ContentType="application/vnd.ms-excel.controlproperties+xml"/>
  <Override PartName="/xl/ctrlProps/ctrlProp27.xml" ContentType="application/vnd.ms-excel.controlproperties+xml"/>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34.xml" ContentType="application/vnd.ms-excel.controlproperties+xml"/>
  <Override PartName="/xl/ctrlProps/ctrlProp25.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35.xml" ContentType="application/vnd.ms-excel.controlproperties+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40" i="1"/>
  <c r="T1040"/>
  <c r="P1040"/>
  <c r="O1040"/>
  <c r="K1040"/>
  <c r="R1039"/>
  <c r="T1039"/>
  <c r="P1039"/>
  <c r="O1039"/>
  <c r="K1039"/>
  <c r="R1038"/>
  <c r="T1038"/>
  <c r="P1038"/>
  <c r="O1038"/>
  <c r="K1038"/>
  <c r="R1037"/>
  <c r="T1037"/>
  <c r="P1037"/>
  <c r="O1037"/>
  <c r="K1037"/>
  <c r="R1036"/>
  <c r="T1036"/>
  <c r="P1036"/>
  <c r="O1036"/>
  <c r="K1036"/>
  <c r="R1035"/>
  <c r="T1035"/>
  <c r="P1035"/>
  <c r="O1035"/>
  <c r="K1035"/>
  <c r="R1034"/>
  <c r="T1034"/>
  <c r="P1034"/>
  <c r="O1034"/>
  <c r="K1034"/>
  <c r="R1033"/>
  <c r="T1033"/>
  <c r="P1033"/>
  <c r="O1033"/>
  <c r="K1033"/>
  <c r="R1032"/>
  <c r="T1032"/>
  <c r="P1032"/>
  <c r="O1032"/>
  <c r="K1032"/>
  <c r="R1031"/>
  <c r="T1031"/>
  <c r="P1031"/>
  <c r="O1031"/>
  <c r="K1031"/>
  <c r="R1030"/>
  <c r="T1030"/>
  <c r="P1030"/>
  <c r="O1030"/>
  <c r="K1030"/>
  <c r="R1029"/>
  <c r="T1029"/>
  <c r="P1029"/>
  <c r="O1029"/>
  <c r="K1029"/>
  <c r="R1028"/>
  <c r="T1028"/>
  <c r="P1028"/>
  <c r="O1028"/>
  <c r="K1028"/>
  <c r="R1027" l="1"/>
  <c r="T1027"/>
  <c r="P1027"/>
  <c r="O1027"/>
  <c r="K1027"/>
  <c r="R1026"/>
  <c r="T1026"/>
  <c r="P1026"/>
  <c r="O1026"/>
  <c r="K1026"/>
  <c r="R1025"/>
  <c r="T1025"/>
  <c r="P1025"/>
  <c r="O1025"/>
  <c r="K1025"/>
  <c r="R1024"/>
  <c r="T1024"/>
  <c r="P1024"/>
  <c r="O1024"/>
  <c r="K1024"/>
  <c r="R928"/>
  <c r="T928"/>
  <c r="P928"/>
  <c r="O928"/>
  <c r="R1023" l="1"/>
  <c r="T1023"/>
  <c r="P1023"/>
  <c r="O1023"/>
  <c r="K1023"/>
  <c r="R1022" l="1"/>
  <c r="T1022"/>
  <c r="P1022"/>
  <c r="O1022"/>
  <c r="K1022"/>
  <c r="R1021"/>
  <c r="T1021"/>
  <c r="P1021"/>
  <c r="O1021"/>
  <c r="K1021"/>
  <c r="R1020"/>
  <c r="T1020"/>
  <c r="P1020"/>
  <c r="O1020"/>
  <c r="K1020"/>
  <c r="R1019"/>
  <c r="T1019"/>
  <c r="P1019"/>
  <c r="O1019"/>
  <c r="K1019"/>
  <c r="R948"/>
  <c r="T948"/>
  <c r="P948"/>
  <c r="O948"/>
  <c r="K948"/>
  <c r="R1018"/>
  <c r="T1018"/>
  <c r="P1018"/>
  <c r="O1018"/>
  <c r="K1018"/>
  <c r="R1017"/>
  <c r="T1017"/>
  <c r="P1017"/>
  <c r="O1017"/>
  <c r="K1017"/>
  <c r="R1016"/>
  <c r="T1016"/>
  <c r="P1016"/>
  <c r="O1016"/>
  <c r="K1016"/>
  <c r="R1015"/>
  <c r="T1015"/>
  <c r="P1015"/>
  <c r="O1015"/>
  <c r="K1015"/>
  <c r="R1014"/>
  <c r="T1014"/>
  <c r="P1014"/>
  <c r="O1014"/>
  <c r="K1014"/>
  <c r="R1013"/>
  <c r="T1013"/>
  <c r="P1013"/>
  <c r="O1013"/>
  <c r="K1013"/>
  <c r="R972" l="1"/>
  <c r="T972"/>
  <c r="P972"/>
  <c r="O972"/>
  <c r="K972"/>
  <c r="R969"/>
  <c r="T969"/>
  <c r="P969"/>
  <c r="O969"/>
  <c r="K969"/>
  <c r="R1012"/>
  <c r="T1012"/>
  <c r="P1012"/>
  <c r="O1012"/>
  <c r="K1012"/>
  <c r="R1011"/>
  <c r="T1011"/>
  <c r="P1011"/>
  <c r="O1011"/>
  <c r="K1011"/>
  <c r="R1010"/>
  <c r="T1010"/>
  <c r="P1010"/>
  <c r="O1010"/>
  <c r="K1010"/>
  <c r="R1009"/>
  <c r="T1009"/>
  <c r="P1009"/>
  <c r="O1009"/>
  <c r="K1009"/>
  <c r="R963"/>
  <c r="T963"/>
  <c r="P963"/>
  <c r="O963"/>
  <c r="R982"/>
  <c r="T982"/>
  <c r="P982"/>
  <c r="O982"/>
  <c r="K982"/>
  <c r="R985" l="1"/>
  <c r="T985"/>
  <c r="P985"/>
  <c r="O985"/>
  <c r="K985"/>
  <c r="R987"/>
  <c r="T987"/>
  <c r="P987"/>
  <c r="O987"/>
  <c r="K987"/>
  <c r="R1008"/>
  <c r="T1008"/>
  <c r="P1008"/>
  <c r="O1008"/>
  <c r="K1008"/>
  <c r="R986"/>
  <c r="T986"/>
  <c r="P986"/>
  <c r="O986"/>
  <c r="R895"/>
  <c r="T895"/>
  <c r="P895"/>
  <c r="O895"/>
  <c r="R1007"/>
  <c r="T1007"/>
  <c r="P1007"/>
  <c r="O1007"/>
  <c r="K1007"/>
  <c r="R978"/>
  <c r="T978"/>
  <c r="P978"/>
  <c r="O978"/>
  <c r="K978"/>
  <c r="R1006"/>
  <c r="T1006"/>
  <c r="P1006"/>
  <c r="O1006"/>
  <c r="K1006"/>
  <c r="R1005" l="1"/>
  <c r="T1005"/>
  <c r="P1005"/>
  <c r="O1005"/>
  <c r="K1005"/>
  <c r="R966"/>
  <c r="T966"/>
  <c r="P966"/>
  <c r="O966"/>
  <c r="R981"/>
  <c r="T981"/>
  <c r="P981"/>
  <c r="O981"/>
  <c r="K981"/>
  <c r="R984"/>
  <c r="T984"/>
  <c r="P984"/>
  <c r="O984"/>
  <c r="K984"/>
  <c r="R976"/>
  <c r="T976"/>
  <c r="P976"/>
  <c r="O976"/>
  <c r="K976"/>
  <c r="R973"/>
  <c r="T973"/>
  <c r="P973"/>
  <c r="O973"/>
  <c r="K973"/>
  <c r="R975"/>
  <c r="T975"/>
  <c r="P975"/>
  <c r="O975"/>
  <c r="K975"/>
  <c r="R1004"/>
  <c r="T1004"/>
  <c r="P1004"/>
  <c r="O1004"/>
  <c r="K1004"/>
  <c r="R1003"/>
  <c r="T1003"/>
  <c r="P1003"/>
  <c r="O1003"/>
  <c r="K1003"/>
  <c r="R967"/>
  <c r="T967"/>
  <c r="P967"/>
  <c r="O967"/>
  <c r="K967"/>
  <c r="R920"/>
  <c r="T920"/>
  <c r="P920"/>
  <c r="O920"/>
  <c r="K920"/>
  <c r="R925" l="1"/>
  <c r="T925"/>
  <c r="P925"/>
  <c r="O925"/>
  <c r="R977"/>
  <c r="T977"/>
  <c r="P977"/>
  <c r="O977"/>
  <c r="K977"/>
  <c r="R980"/>
  <c r="T980"/>
  <c r="P980"/>
  <c r="O980"/>
  <c r="R983"/>
  <c r="T983"/>
  <c r="P983"/>
  <c r="O983"/>
  <c r="K983"/>
  <c r="R974"/>
  <c r="T974"/>
  <c r="P974"/>
  <c r="O974"/>
  <c r="K974"/>
  <c r="R1002"/>
  <c r="T1002"/>
  <c r="P1002"/>
  <c r="O1002"/>
  <c r="K1002"/>
  <c r="R979"/>
  <c r="T979"/>
  <c r="P979"/>
  <c r="O979"/>
  <c r="R1001"/>
  <c r="T1001"/>
  <c r="P1001"/>
  <c r="O1001"/>
  <c r="K1001"/>
  <c r="R927"/>
  <c r="T927"/>
  <c r="P927"/>
  <c r="O927"/>
  <c r="K927"/>
  <c r="R960"/>
  <c r="T960"/>
  <c r="P960"/>
  <c r="O960"/>
  <c r="K960"/>
  <c r="R956"/>
  <c r="T956"/>
  <c r="P956"/>
  <c r="O956"/>
  <c r="K956"/>
  <c r="R1000"/>
  <c r="T1000"/>
  <c r="P1000"/>
  <c r="O1000"/>
  <c r="K1000"/>
  <c r="R949"/>
  <c r="T949"/>
  <c r="P949"/>
  <c r="O949"/>
  <c r="K949"/>
  <c r="R965"/>
  <c r="T965"/>
  <c r="P965"/>
  <c r="O965"/>
  <c r="K965"/>
  <c r="R968"/>
  <c r="T968"/>
  <c r="P968"/>
  <c r="O968"/>
  <c r="K968"/>
  <c r="H27" i="17"/>
  <c r="R922" i="1"/>
  <c r="T922"/>
  <c r="P922"/>
  <c r="O922"/>
  <c r="K922"/>
  <c r="R947"/>
  <c r="T947"/>
  <c r="P947"/>
  <c r="O947"/>
  <c r="K947"/>
  <c r="R962"/>
  <c r="T962"/>
  <c r="P962"/>
  <c r="O962"/>
  <c r="K962"/>
  <c r="R953"/>
  <c r="T953"/>
  <c r="P953"/>
  <c r="O953"/>
  <c r="K953"/>
  <c r="R952"/>
  <c r="T952"/>
  <c r="P952"/>
  <c r="O952"/>
  <c r="K952"/>
  <c r="R951"/>
  <c r="T951"/>
  <c r="P951"/>
  <c r="O951"/>
  <c r="K951"/>
  <c r="R958"/>
  <c r="T958"/>
  <c r="P958"/>
  <c r="O958"/>
  <c r="R964"/>
  <c r="T964"/>
  <c r="P964"/>
  <c r="O964"/>
  <c r="R930"/>
  <c r="T930"/>
  <c r="P930"/>
  <c r="O930"/>
  <c r="R938"/>
  <c r="T938"/>
  <c r="P938"/>
  <c r="O938"/>
  <c r="K938"/>
  <c r="R971"/>
  <c r="T971"/>
  <c r="P971"/>
  <c r="O971"/>
  <c r="R961"/>
  <c r="T961"/>
  <c r="P961"/>
  <c r="O961"/>
  <c r="R916"/>
  <c r="T916"/>
  <c r="P916"/>
  <c r="O916"/>
  <c r="R970"/>
  <c r="T970"/>
  <c r="P970"/>
  <c r="O970"/>
  <c r="K970"/>
  <c r="R935"/>
  <c r="T935"/>
  <c r="P935"/>
  <c r="O935"/>
  <c r="K935"/>
  <c r="R946"/>
  <c r="T946"/>
  <c r="P946"/>
  <c r="O946"/>
  <c r="K946"/>
  <c r="R902" l="1"/>
  <c r="T902"/>
  <c r="P902"/>
  <c r="O902"/>
  <c r="R955" l="1"/>
  <c r="T955"/>
  <c r="P955"/>
  <c r="O955"/>
  <c r="K955"/>
  <c r="R929"/>
  <c r="T929"/>
  <c r="P929"/>
  <c r="O929"/>
  <c r="K929"/>
  <c r="R943"/>
  <c r="T943"/>
  <c r="P943"/>
  <c r="O943"/>
  <c r="K943"/>
  <c r="R924"/>
  <c r="T924"/>
  <c r="P924"/>
  <c r="O924"/>
  <c r="K924"/>
  <c r="R936"/>
  <c r="T936"/>
  <c r="P936"/>
  <c r="O936"/>
  <c r="K936"/>
  <c r="R934"/>
  <c r="T934"/>
  <c r="P934"/>
  <c r="O934"/>
  <c r="R923"/>
  <c r="T923"/>
  <c r="P923"/>
  <c r="O923"/>
  <c r="K923"/>
  <c r="R931"/>
  <c r="T931"/>
  <c r="P931"/>
  <c r="O931"/>
  <c r="R957"/>
  <c r="T957"/>
  <c r="P957"/>
  <c r="O957"/>
  <c r="K957"/>
  <c r="R954"/>
  <c r="T954"/>
  <c r="P954"/>
  <c r="O954"/>
  <c r="R940"/>
  <c r="T940"/>
  <c r="P940"/>
  <c r="O940"/>
  <c r="K940"/>
  <c r="R915"/>
  <c r="T915"/>
  <c r="P915"/>
  <c r="O915"/>
  <c r="R926"/>
  <c r="T926"/>
  <c r="P926"/>
  <c r="O926"/>
  <c r="K926"/>
  <c r="R950"/>
  <c r="T950"/>
  <c r="P950"/>
  <c r="O950"/>
  <c r="R944"/>
  <c r="T944"/>
  <c r="P944"/>
  <c r="O944"/>
  <c r="K944"/>
  <c r="R939"/>
  <c r="T939"/>
  <c r="P939"/>
  <c r="O939"/>
  <c r="R937"/>
  <c r="T937"/>
  <c r="P937"/>
  <c r="O937"/>
  <c r="K937"/>
  <c r="R942"/>
  <c r="T942"/>
  <c r="P942"/>
  <c r="O942"/>
  <c r="R941"/>
  <c r="T941"/>
  <c r="P941"/>
  <c r="O941"/>
  <c r="BC44" i="3"/>
  <c r="AZ44"/>
  <c r="R933" i="1"/>
  <c r="T933"/>
  <c r="P933"/>
  <c r="O933"/>
  <c r="K933"/>
  <c r="R909"/>
  <c r="T909"/>
  <c r="P909"/>
  <c r="O909"/>
  <c r="K909"/>
  <c r="R901"/>
  <c r="T901"/>
  <c r="P901"/>
  <c r="O901"/>
  <c r="K901"/>
  <c r="R919"/>
  <c r="T919"/>
  <c r="P919"/>
  <c r="O919"/>
  <c r="K919"/>
  <c r="R914"/>
  <c r="T914"/>
  <c r="P914"/>
  <c r="O914"/>
  <c r="R999"/>
  <c r="T999"/>
  <c r="P999"/>
  <c r="O999"/>
  <c r="K999"/>
  <c r="AW44" i="3"/>
  <c r="AT44"/>
  <c r="R918" i="1"/>
  <c r="T918"/>
  <c r="P918"/>
  <c r="O918"/>
  <c r="K918"/>
  <c r="R905"/>
  <c r="T905"/>
  <c r="P905"/>
  <c r="O905"/>
  <c r="K905"/>
  <c r="R890"/>
  <c r="T890"/>
  <c r="P890"/>
  <c r="O890"/>
  <c r="K890"/>
  <c r="R889"/>
  <c r="T889"/>
  <c r="P889"/>
  <c r="O889"/>
  <c r="K889"/>
  <c r="R913"/>
  <c r="T913"/>
  <c r="P913"/>
  <c r="O913"/>
  <c r="K913"/>
  <c r="R894"/>
  <c r="T894"/>
  <c r="P894"/>
  <c r="O894"/>
  <c r="K894"/>
  <c r="R861"/>
  <c r="T861"/>
  <c r="P861"/>
  <c r="O861"/>
  <c r="R887"/>
  <c r="T887"/>
  <c r="P887"/>
  <c r="O887"/>
  <c r="K887"/>
  <c r="R899"/>
  <c r="T899"/>
  <c r="P899"/>
  <c r="O899"/>
  <c r="K899"/>
  <c r="R908"/>
  <c r="T908"/>
  <c r="P908"/>
  <c r="O908"/>
  <c r="K908"/>
  <c r="R865"/>
  <c r="T865"/>
  <c r="P865"/>
  <c r="O865"/>
  <c r="R898"/>
  <c r="T898"/>
  <c r="P898"/>
  <c r="O898"/>
  <c r="R910"/>
  <c r="T910"/>
  <c r="P910"/>
  <c r="O910"/>
  <c r="K910"/>
  <c r="R932"/>
  <c r="T932"/>
  <c r="P932"/>
  <c r="O932"/>
  <c r="R886"/>
  <c r="T886"/>
  <c r="P886"/>
  <c r="O886"/>
  <c r="K886"/>
  <c r="R879"/>
  <c r="T879"/>
  <c r="P879"/>
  <c r="O879"/>
  <c r="R998"/>
  <c r="T998"/>
  <c r="P998"/>
  <c r="O998"/>
  <c r="K998"/>
  <c r="R869"/>
  <c r="T869"/>
  <c r="P869"/>
  <c r="O869"/>
  <c r="R921"/>
  <c r="T921"/>
  <c r="P921"/>
  <c r="O921"/>
  <c r="R883"/>
  <c r="T883"/>
  <c r="P883"/>
  <c r="O883"/>
  <c r="R912"/>
  <c r="T912"/>
  <c r="P912"/>
  <c r="O912"/>
  <c r="K912"/>
  <c r="R904"/>
  <c r="T904"/>
  <c r="P904"/>
  <c r="O904"/>
  <c r="T877"/>
  <c r="P877"/>
  <c r="O877"/>
  <c r="K877"/>
  <c r="R897"/>
  <c r="T897"/>
  <c r="P897"/>
  <c r="O897"/>
  <c r="K897"/>
  <c r="R917"/>
  <c r="T917"/>
  <c r="P917"/>
  <c r="O917"/>
  <c r="K917"/>
  <c r="R860" l="1"/>
  <c r="T860"/>
  <c r="P860"/>
  <c r="O860"/>
  <c r="K860"/>
  <c r="R872" l="1"/>
  <c r="T872"/>
  <c r="P872"/>
  <c r="O872"/>
  <c r="R891"/>
  <c r="T891"/>
  <c r="P891"/>
  <c r="O891"/>
  <c r="K891"/>
  <c r="R907"/>
  <c r="T907"/>
  <c r="P907"/>
  <c r="O907"/>
  <c r="K907"/>
  <c r="R824"/>
  <c r="T824"/>
  <c r="P824"/>
  <c r="O824"/>
  <c r="K824"/>
  <c r="R878"/>
  <c r="T878"/>
  <c r="P878"/>
  <c r="O878"/>
  <c r="K848"/>
  <c r="R848"/>
  <c r="T848"/>
  <c r="P848"/>
  <c r="O848"/>
  <c r="R870"/>
  <c r="T870"/>
  <c r="P870"/>
  <c r="O870"/>
  <c r="K870"/>
  <c r="R911"/>
  <c r="T911"/>
  <c r="P911"/>
  <c r="O911"/>
  <c r="K911"/>
  <c r="R906"/>
  <c r="T906"/>
  <c r="P906"/>
  <c r="O906"/>
  <c r="R882"/>
  <c r="T882"/>
  <c r="P882"/>
  <c r="O882"/>
  <c r="K882"/>
  <c r="R900"/>
  <c r="T900"/>
  <c r="P900"/>
  <c r="O900"/>
  <c r="K900"/>
  <c r="R903"/>
  <c r="T903"/>
  <c r="P903"/>
  <c r="O903"/>
  <c r="K903"/>
  <c r="R875"/>
  <c r="T875"/>
  <c r="P875"/>
  <c r="O875"/>
  <c r="R997"/>
  <c r="T997"/>
  <c r="P997"/>
  <c r="O997"/>
  <c r="K997"/>
  <c r="R888" l="1"/>
  <c r="T888"/>
  <c r="P888"/>
  <c r="O888"/>
  <c r="R880"/>
  <c r="T880"/>
  <c r="P880"/>
  <c r="O880"/>
  <c r="R864"/>
  <c r="T864"/>
  <c r="P864"/>
  <c r="O864"/>
  <c r="R876"/>
  <c r="T876"/>
  <c r="P876"/>
  <c r="O876"/>
  <c r="K876"/>
  <c r="R863"/>
  <c r="T863"/>
  <c r="P863"/>
  <c r="O863"/>
  <c r="K863"/>
  <c r="R885"/>
  <c r="T885"/>
  <c r="P885"/>
  <c r="O885"/>
  <c r="K885"/>
  <c r="K988"/>
  <c r="R988"/>
  <c r="T988"/>
  <c r="P988"/>
  <c r="O988"/>
  <c r="R893"/>
  <c r="T893"/>
  <c r="P893"/>
  <c r="O893"/>
  <c r="K893"/>
  <c r="R856"/>
  <c r="T856"/>
  <c r="P856"/>
  <c r="O856"/>
  <c r="K856"/>
  <c r="R855"/>
  <c r="T855"/>
  <c r="P855"/>
  <c r="O855"/>
  <c r="K855"/>
  <c r="T884"/>
  <c r="P884"/>
  <c r="O884"/>
  <c r="R847"/>
  <c r="T847"/>
  <c r="P847"/>
  <c r="O847"/>
  <c r="K847"/>
  <c r="R846"/>
  <c r="T846"/>
  <c r="P846"/>
  <c r="O846"/>
  <c r="R945"/>
  <c r="T945"/>
  <c r="P945"/>
  <c r="O945"/>
  <c r="T852"/>
  <c r="P852"/>
  <c r="O852"/>
  <c r="R896"/>
  <c r="T896"/>
  <c r="P896"/>
  <c r="O896"/>
  <c r="K896"/>
  <c r="R851" l="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R996"/>
  <c r="T996"/>
  <c r="P996"/>
  <c r="O996"/>
  <c r="K996"/>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762"/>
  <c r="T762"/>
  <c r="P762"/>
  <c r="O762"/>
  <c r="R814"/>
  <c r="T814"/>
  <c r="P814"/>
  <c r="O814"/>
  <c r="K814"/>
  <c r="R836"/>
  <c r="T836"/>
  <c r="P836"/>
  <c r="O836"/>
  <c r="K836"/>
  <c r="R892"/>
  <c r="T892"/>
  <c r="P892"/>
  <c r="O892"/>
  <c r="K892"/>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989"/>
  <c r="T989"/>
  <c r="P989"/>
  <c r="O989"/>
  <c r="R995"/>
  <c r="T995"/>
  <c r="P995"/>
  <c r="O995"/>
  <c r="K995"/>
  <c r="R817"/>
  <c r="T817"/>
  <c r="P817"/>
  <c r="O817"/>
  <c r="R840"/>
  <c r="T840"/>
  <c r="P840"/>
  <c r="O840"/>
  <c r="R825"/>
  <c r="T825"/>
  <c r="P825"/>
  <c r="O825"/>
  <c r="R816"/>
  <c r="T816"/>
  <c r="P816"/>
  <c r="O816"/>
  <c r="K816"/>
  <c r="R809"/>
  <c r="T809"/>
  <c r="P809"/>
  <c r="O809"/>
  <c r="K809"/>
  <c r="R786"/>
  <c r="T786"/>
  <c r="P786"/>
  <c r="O786"/>
  <c r="K786"/>
  <c r="R994"/>
  <c r="T994"/>
  <c r="P994"/>
  <c r="O994"/>
  <c r="K994"/>
  <c r="R780"/>
  <c r="T780"/>
  <c r="P780"/>
  <c r="O780"/>
  <c r="K780"/>
  <c r="R795"/>
  <c r="T795"/>
  <c r="P795"/>
  <c r="O795"/>
  <c r="R959"/>
  <c r="T959"/>
  <c r="P959"/>
  <c r="O959"/>
  <c r="K959"/>
  <c r="R808"/>
  <c r="T808"/>
  <c r="P808"/>
  <c r="O808"/>
  <c r="R784"/>
  <c r="T784"/>
  <c r="P784"/>
  <c r="O784"/>
  <c r="K784"/>
  <c r="R993"/>
  <c r="T993"/>
  <c r="P993"/>
  <c r="O993"/>
  <c r="K993"/>
  <c r="R992"/>
  <c r="T992"/>
  <c r="P992"/>
  <c r="O992"/>
  <c r="K992"/>
  <c r="R793"/>
  <c r="T793"/>
  <c r="P793"/>
  <c r="O793"/>
  <c r="K793"/>
  <c r="R837"/>
  <c r="T837"/>
  <c r="P837"/>
  <c r="O837"/>
  <c r="R807"/>
  <c r="T807"/>
  <c r="P807"/>
  <c r="O807"/>
  <c r="R798"/>
  <c r="T798"/>
  <c r="P798"/>
  <c r="O798"/>
  <c r="R779"/>
  <c r="T779"/>
  <c r="P779"/>
  <c r="O779"/>
  <c r="K779"/>
  <c r="R792"/>
  <c r="T792"/>
  <c r="P792"/>
  <c r="O792"/>
  <c r="K792"/>
  <c r="R991"/>
  <c r="T991"/>
  <c r="P991"/>
  <c r="O991"/>
  <c r="K991"/>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990"/>
  <c r="T990"/>
  <c r="P990"/>
  <c r="O990"/>
  <c r="K990"/>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C18" i="9" l="1"/>
  <c r="C19"/>
  <c r="C16"/>
  <c r="C17"/>
  <c r="B14" i="24"/>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7" i="9"/>
  <c r="T267" i="1"/>
  <c r="P267"/>
  <c r="O267"/>
  <c r="AQ14" i="24" l="1"/>
  <c r="A10" i="7"/>
  <c r="A7"/>
  <c r="A8"/>
  <c r="A9"/>
  <c r="A6"/>
  <c r="F65" i="6"/>
  <c r="AQ75" i="24"/>
  <c r="C34" i="6"/>
  <c r="F31"/>
  <c r="F30"/>
  <c r="A5" i="23"/>
  <c r="B6"/>
  <c r="C36" i="6"/>
  <c r="C61"/>
  <c r="C63"/>
  <c r="T259" i="1"/>
  <c r="P259"/>
  <c r="O259"/>
  <c r="C11" i="9" s="1"/>
  <c r="A11" i="7" l="1"/>
  <c r="B8" s="1"/>
  <c r="F38" i="6"/>
  <c r="A6" i="23"/>
  <c r="B7"/>
  <c r="C5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C36"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8" i="9" s="1"/>
  <c r="C16" i="20"/>
  <c r="C1"/>
  <c r="A11" i="23" l="1"/>
  <c r="B12"/>
  <c r="C23" i="20"/>
  <c r="B13" i="23" l="1"/>
  <c r="A12"/>
  <c r="T225" i="1"/>
  <c r="P225"/>
  <c r="O225"/>
  <c r="T224"/>
  <c r="P224"/>
  <c r="O224"/>
  <c r="T221"/>
  <c r="P221"/>
  <c r="O221"/>
  <c r="T223"/>
  <c r="P223"/>
  <c r="O223"/>
  <c r="T222"/>
  <c r="P222"/>
  <c r="O222"/>
  <c r="B14" i="23" l="1"/>
  <c r="A13"/>
  <c r="T204" i="1"/>
  <c r="P204"/>
  <c r="O204"/>
  <c r="U220"/>
  <c r="T220"/>
  <c r="C35" i="9"/>
  <c r="C34"/>
  <c r="C33"/>
  <c r="C32"/>
  <c r="C31"/>
  <c r="C30"/>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AQ13" i="24" s="1"/>
  <c r="O5" i="1"/>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AQ9" i="24" l="1"/>
  <c r="AQ10"/>
  <c r="AQ11"/>
  <c r="AQ12"/>
  <c r="AQ8"/>
  <c r="AQ7"/>
  <c r="AQ6"/>
  <c r="B10"/>
  <c r="B9"/>
  <c r="B8"/>
  <c r="B7"/>
  <c r="B6"/>
  <c r="AQ55"/>
  <c r="AQ52"/>
  <c r="B1" i="1"/>
  <c r="AQ49" i="24"/>
  <c r="AQ53"/>
  <c r="AQ30"/>
  <c r="AQ47"/>
  <c r="AQ29"/>
  <c r="AQ70"/>
  <c r="AQ50"/>
  <c r="AQ48"/>
  <c r="AQ71"/>
  <c r="AQ51"/>
  <c r="AQ73"/>
  <c r="AQ54"/>
  <c r="AQ68"/>
  <c r="AQ46"/>
  <c r="AQ74"/>
  <c r="AQ56"/>
  <c r="AQ67"/>
  <c r="AQ45"/>
  <c r="AQ69"/>
  <c r="AQ72"/>
  <c r="C48" i="9"/>
  <c r="C1" i="1"/>
  <c r="C57" i="6"/>
  <c r="A19" i="23"/>
  <c r="B20"/>
  <c r="C30" i="6"/>
  <c r="C33"/>
  <c r="C32"/>
  <c r="C31"/>
  <c r="C9" i="9"/>
  <c r="C49"/>
  <c r="C9" i="20"/>
  <c r="C33"/>
  <c r="C7"/>
  <c r="C31"/>
  <c r="C8"/>
  <c r="C32"/>
  <c r="C28"/>
  <c r="C4"/>
  <c r="C29"/>
  <c r="C52" i="9" s="1"/>
  <c r="C5" i="20"/>
  <c r="C20" i="9" s="1"/>
  <c r="C10" i="20"/>
  <c r="C34"/>
  <c r="C6"/>
  <c r="C30"/>
  <c r="C47" i="9"/>
  <c r="C46"/>
  <c r="C44"/>
  <c r="C10"/>
  <c r="C50"/>
  <c r="C45"/>
  <c r="C8"/>
  <c r="C5"/>
  <c r="C6"/>
  <c r="C4"/>
  <c r="C7"/>
  <c r="C60" i="6"/>
  <c r="C59"/>
  <c r="C58"/>
  <c r="P159" i="1"/>
  <c r="P158"/>
  <c r="P157"/>
  <c r="P156"/>
  <c r="AQ15" i="24" l="1"/>
  <c r="B17"/>
  <c r="C64" i="6"/>
  <c r="C37"/>
  <c r="AQ32" i="24"/>
  <c r="AQ36" s="1"/>
  <c r="AQ76"/>
  <c r="AQ60"/>
  <c r="C53" i="9"/>
  <c r="C21"/>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22" i="9"/>
  <c r="B25" i="23" l="1"/>
  <c r="A24"/>
  <c r="C24" i="20"/>
  <c r="C39" i="9"/>
  <c r="C40"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<sst xmlns="http://schemas.openxmlformats.org/spreadsheetml/2006/main" count="19621" uniqueCount="4209">
  <si>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</si>
  <si>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</si>
  <si>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</si>
  <si>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</si>
  <si>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</si>
  <si>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</si>
  <si>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</si>
  <si>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</si>
  <si>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</si>
  <si>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</si>
  <si>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</si>
  <si>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</si>
  <si>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</si>
  <si>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</si>
  <si>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</si>
  <si>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</si>
  <si>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</si>
  <si>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</si>
  <si>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</si>
  <si>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</si>
  <si>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</si>
  <si>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</si>
  <si>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</si>
  <si>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</si>
  <si>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</si>
  <si>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</si>
  <si>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</si>
  <si>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</si>
  <si>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</si>
  <si>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</si>
  <si>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</si>
  <si>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</si>
  <si>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</si>
  <si>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</si>
  <si>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</si>
  <si>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</si>
  <si>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</si>
  <si>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</si>
  <si>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</si>
  <si>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</si>
  <si>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</si>
  <si>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</si>
  <si>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</si>
  <si>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</si>
  <si>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</si>
  <si>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</si>
  <si>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</si>
  <si>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</si>
  <si>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</si>
  <si>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</si>
  <si>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</si>
  <si>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</si>
  <si>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</si>
  <si>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</si>
  <si>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</si>
  <si>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</si>
  <si>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</si>
  <si>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</si>
  <si>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</si>
  <si>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</si>
  <si>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</si>
  <si>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</si>
  <si>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</si>
  <si>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</si>
  <si>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</si>
  <si>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</si>
  <si>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</si>
  <si>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</si>
  <si>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</si>
  <si>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</si>
  <si>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</si>
  <si>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</si>
  <si>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</si>
  <si>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</si>
  <si>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</si>
  <si>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</si>
  <si>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</si>
  <si>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</si>
  <si>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</si>
  <si>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</si>
  <si>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</si>
  <si>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</si>
  <si>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</si>
  <si>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</si>
  <si>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</si>
  <si>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</si>
  <si>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</si>
  <si>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</si>
  <si>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</si>
  <si>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</si>
  <si>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</si>
  <si>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</si>
  <si>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</si>
  <si>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</si>
  <si>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</si>
  <si>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</si>
  <si>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</si>
  <si>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</si>
  <si>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</si>
  <si>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</si>
  <si>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</si>
  <si>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</si>
  <si>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</si>
  <si>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</si>
  <si>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</si>
  <si>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</si>
  <si>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</si>
  <si>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</si>
  <si>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</si>
  <si>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</si>
  <si>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</si>
  <si>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</si>
  <si>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</si>
  <si>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</si>
  <si>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</si>
  <si>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</si>
  <si>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</si>
  <si>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</si>
  <si>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</si>
  <si>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</si>
  <si>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</si>
  <si>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</si>
  <si>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</si>
  <si>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</si>
  <si>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</si>
  <si>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</si>
  <si>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</si>
  <si>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</si>
  <si>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</si>
  <si>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</si>
  <si>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</si>
  <si>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</si>
  <si>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</si>
  <si>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</si>
  <si>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</si>
  <si>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</si>
  <si>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</si>
  <si>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</si>
  <si>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</si>
  <si>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</si>
  <si>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</si>
  <si>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</si>
  <si>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</si>
  <si>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</si>
  <si>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</si>
  <si>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</si>
  <si>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</si>
  <si>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</si>
  <si>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</si>
  <si>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</si>
  <si>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</si>
  <si>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</si>
  <si>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</si>
  <si>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</si>
  <si>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</si>
  <si>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</si>
  <si>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</si>
  <si>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</si>
  <si>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</si>
  <si>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</si>
  <si>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</si>
  <si>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</si>
  <si>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</si>
  <si>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</si>
  <si>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</si>
  <si>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</si>
  <si>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</si>
  <si>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</si>
  <si>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</si>
  <si>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</si>
  <si>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</si>
  <si>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</si>
  <si>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</si>
  <si>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</si>
  <si>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</si>
  <si>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</si>
  <si>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</si>
  <si>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</si>
  <si>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</si>
  <si>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</si>
  <si>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</si>
  <si>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</si>
  <si>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</si>
  <si>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</si>
  <si>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</si>
  <si>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</si>
  <si>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</si>
  <si>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</si>
  <si>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</si>
  <si>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</si>
  <si>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</si>
  <si>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</si>
  <si>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</si>
  <si>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</si>
  <si>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</si>
  <si>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</si>
  <si>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</si>
  <si>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</si>
  <si>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</si>
  <si>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</si>
  <si>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</si>
  <si>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</si>
  <si>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</si>
  <si>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</si>
  <si>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</si>
  <si>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</si>
  <si>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</si>
  <si>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</si>
  <si>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</si>
  <si>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</si>
  <si>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</si>
  <si>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</si>
  <si>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</si>
  <si>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</si>
  <si>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</si>
  <si>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</si>
  <si>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</si>
  <si>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</si>
  <si>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</si>
  <si>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</si>
  <si>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</si>
  <si>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</si>
  <si>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</si>
  <si>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</si>
  <si>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</si>
  <si>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</si>
  <si>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</si>
  <si>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</si>
  <si>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</si>
  <si>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</si>
  <si>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</si>
  <si>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</si>
  <si>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</si>
  <si>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</si>
  <si>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</si>
  <si>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</si>
  <si>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</si>
  <si>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</si>
  <si>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</si>
  <si>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</si>
  <si>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</si>
  <si>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</si>
  <si>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</si>
  <si>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</si>
  <si>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</si>
  <si>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</si>
  <si>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</si>
  <si>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</si>
  <si>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</si>
  <si>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</si>
  <si>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</si>
  <si>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</si>
  <si>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</si>
  <si>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</si>
  <si>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</si>
  <si>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</si>
  <si>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</si>
  <si>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</si>
  <si>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</si>
  <si>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</si>
  <si>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</si>
  <si>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</si>
  <si>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</si>
  <si>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</si>
  <si>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</si>
  <si>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</si>
  <si>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</si>
  <si>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</si>
  <si>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</si>
  <si>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</si>
  <si>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</si>
  <si>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</si>
  <si>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</si>
  <si>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</si>
  <si>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</si>
  <si>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</si>
  <si>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</si>
  <si>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</si>
  <si>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</si>
  <si>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</si>
  <si>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</si>
  <si>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</si>
  <si>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</si>
  <si>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</si>
  <si>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</si>
  <si>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</si>
  <si>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</si>
  <si>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</si>
  <si>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</si>
  <si>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</si>
  <si>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</si>
  <si>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</si>
  <si>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</si>
  <si>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</si>
  <si>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</si>
  <si>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</si>
  <si>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</si>
  <si>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</si>
  <si>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</si>
  <si>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</si>
  <si>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</si>
  <si>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</si>
  <si>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</si>
  <si>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</si>
  <si>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</si>
  <si>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</si>
  <si>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</si>
  <si>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</si>
  <si>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</si>
  <si>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</si>
  <si>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</si>
  <si>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</si>
  <si>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</si>
  <si>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</si>
  <si>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</si>
  <si>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</si>
  <si>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</si>
  <si>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</si>
  <si>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</si>
  <si>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</si>
  <si>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</si>
  <si>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</si>
  <si>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</si>
  <si>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</si>
  <si>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</si>
  <si>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</si>
  <si>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</si>
  <si>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</si>
  <si>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</si>
  <si>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</si>
  <si>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</si>
  <si>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</si>
  <si>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</si>
  <si>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</si>
  <si>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</si>
  <si>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</si>
  <si>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</si>
  <si>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</si>
  <si>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</si>
  <si>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</si>
  <si>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</si>
  <si>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</si>
  <si>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</si>
  <si>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</si>
  <si>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</si>
  <si>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</si>
  <si>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</si>
  <si>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</si>
  <si>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</si>
  <si>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</si>
  <si>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</si>
  <si>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</si>
  <si>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</si>
  <si>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</si>
  <si>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</si>
  <si>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</si>
  <si>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</si>
  <si>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</si>
  <si>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</si>
  <si>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</si>
  <si>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</si>
  <si>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</si>
  <si>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</si>
  <si>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</si>
  <si>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</si>
  <si>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</si>
  <si>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</si>
  <si>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</si>
  <si>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</si>
  <si>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</si>
  <si>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</si>
  <si>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</si>
  <si>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</si>
  <si>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</si>
  <si>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</si>
  <si>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</si>
  <si>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</si>
  <si>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</si>
  <si>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</si>
  <si>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</si>
  <si>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</si>
  <si>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</si>
  <si>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</si>
  <si>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</si>
  <si>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</si>
  <si>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</si>
  <si>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</si>
  <si>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</si>
  <si>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</si>
  <si>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</si>
  <si>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</si>
  <si>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</si>
  <si>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</si>
  <si>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</si>
  <si>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</si>
  <si>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</si>
  <si>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</si>
  <si>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</si>
  <si>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</si>
  <si>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</si>
  <si>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</si>
  <si>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</si>
  <si>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</si>
  <si>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</si>
  <si>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</si>
  <si>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</si>
  <si>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</si>
  <si>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</si>
  <si>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</si>
  <si>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</si>
  <si>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</si>
  <si>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</si>
  <si>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</si>
  <si>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</si>
  <si>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</si>
  <si>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</si>
  <si>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</si>
  <si>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</si>
  <si>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</si>
  <si>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</si>
  <si>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</si>
  <si>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</si>
  <si>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</si>
  <si>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</si>
  <si>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</si>
  <si>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</si>
  <si>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</si>
  <si>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</si>
  <si>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</si>
  <si>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</si>
  <si>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</si>
  <si>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</si>
  <si>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</si>
  <si>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</si>
  <si>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</si>
  <si>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</si>
  <si>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</si>
  <si>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</si>
  <si>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</si>
  <si>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</si>
  <si>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</si>
  <si>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</si>
  <si>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</si>
  <si>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</si>
  <si>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</si>
  <si>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</si>
  <si>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</si>
  <si>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</si>
  <si>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</si>
  <si>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</si>
  <si>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</si>
  <si>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</si>
  <si>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</si>
  <si>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</si>
  <si>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</si>
  <si>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</si>
  <si>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</si>
  <si>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</si>
  <si>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</si>
  <si>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</si>
  <si>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</si>
  <si>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</si>
  <si>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</si>
  <si>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</si>
  <si>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</si>
  <si>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</si>
  <si>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</si>
  <si>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</si>
  <si>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</si>
  <si>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</si>
  <si>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</si>
  <si>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</si>
  <si>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</si>
  <si>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</si>
  <si>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</si>
  <si>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</si>
  <si>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</si>
  <si>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</si>
  <si>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</si>
  <si>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</si>
  <si>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</si>
  <si>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</si>
  <si>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</si>
  <si>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</si>
  <si>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</si>
  <si>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</si>
  <si>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</si>
  <si>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</si>
  <si>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</si>
  <si>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</si>
  <si>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</si>
  <si>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</si>
  <si>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</si>
  <si>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</si>
  <si>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</si>
  <si>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</si>
  <si>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</si>
  <si>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</si>
  <si>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</si>
  <si>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</si>
  <si>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</si>
  <si>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</si>
  <si>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</si>
  <si>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</si>
  <si>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</si>
  <si>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</si>
  <si>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</si>
  <si>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</si>
  <si>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</si>
  <si>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</si>
  <si>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</si>
  <si>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</si>
  <si>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</si>
  <si>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</si>
  <si>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</si>
  <si>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</si>
  <si>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</si>
  <si>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</si>
  <si>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</si>
  <si>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</si>
  <si>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</si>
  <si>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</si>
  <si>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</si>
  <si>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</si>
  <si>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</si>
  <si>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</si>
  <si>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</si>
  <si>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</si>
  <si>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</si>
  <si>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</si>
  <si>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</si>
  <si>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</si>
  <si>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</si>
  <si>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</si>
  <si>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</si>
  <si>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</si>
  <si>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</si>
  <si>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</si>
  <si>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</si>
  <si>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</si>
  <si>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</si>
  <si>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</si>
  <si>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</si>
  <si>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</si>
  <si>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</si>
  <si>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</si>
  <si>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</si>
  <si>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</si>
  <si>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</si>
  <si>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</si>
  <si>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</si>
  <si>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</si>
  <si>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</si>
  <si>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</si>
  <si>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</si>
  <si>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</si>
  <si>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</si>
  <si>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</si>
  <si>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</si>
  <si>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</si>
  <si>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</si>
  <si>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</si>
  <si>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</si>
  <si>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</si>
  <si>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</si>
  <si>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</si>
  <si>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</si>
  <si>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</si>
  <si>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</si>
  <si>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</si>
  <si>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</si>
  <si>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</si>
  <si>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</si>
  <si>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</si>
  <si>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</si>
  <si>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</si>
  <si>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</si>
  <si>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</si>
  <si>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</si>
  <si>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</si>
  <si>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</si>
  <si>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</si>
  <si>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</si>
  <si>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</si>
  <si>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</si>
  <si>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</si>
  <si>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</si>
  <si>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</si>
  <si>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</si>
  <si>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</si>
  <si>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</si>
  <si>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</si>
  <si>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</si>
  <si>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</si>
  <si>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</si>
  <si>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</si>
  <si>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</si>
  <si>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</si>
  <si>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</si>
  <si>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</si>
  <si>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</si>
  <si>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</si>
  <si>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</si>
  <si>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</si>
  <si>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</si>
  <si>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</si>
  <si>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</si>
  <si>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</si>
  <si>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</si>
  <si>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</si>
  <si>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</si>
  <si>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</si>
  <si>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</si>
  <si>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</si>
  <si>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</si>
  <si>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</si>
  <si>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</si>
  <si>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</si>
  <si>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</si>
  <si>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</si>
  <si>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</si>
  <si>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</si>
  <si>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</si>
  <si>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</si>
  <si>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</si>
  <si>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</si>
  <si>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</si>
  <si>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</si>
  <si>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</si>
  <si>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</si>
  <si>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</si>
  <si>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</si>
  <si>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</si>
  <si>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</si>
  <si>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</si>
  <si>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</si>
  <si>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</si>
  <si>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</si>
  <si>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</si>
  <si>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</si>
  <si>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</si>
  <si>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</si>
  <si>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</si>
  <si>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</si>
  <si>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</si>
  <si>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</si>
  <si>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</si>
  <si>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</si>
  <si>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</si>
  <si>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</si>
  <si>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</si>
  <si>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</si>
  <si>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</si>
  <si>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</si>
  <si>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</si>
  <si>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</si>
  <si>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</si>
  <si>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</si>
  <si>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</si>
  <si>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</si>
  <si>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</si>
  <si>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</si>
  <si>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</si>
  <si>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</si>
  <si>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</si>
  <si>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</si>
  <si>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</si>
  <si>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</si>
  <si>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</si>
  <si>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</si>
  <si>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</si>
  <si>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</si>
  <si>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</si>
  <si>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</si>
  <si>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</si>
  <si>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</si>
  <si>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</si>
  <si>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</si>
  <si>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</si>
  <si>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</si>
  <si>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</si>
  <si>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</si>
  <si>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</si>
  <si>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</si>
  <si>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</si>
  <si>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</si>
  <si>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</si>
  <si>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</si>
  <si>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</si>
  <si>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</si>
  <si>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</si>
  <si>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</si>
  <si>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</si>
  <si>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</si>
  <si>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</si>
  <si>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</si>
  <si>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</si>
  <si>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</si>
  <si>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</si>
  <si>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</si>
  <si>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</si>
  <si>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</si>
  <si>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</si>
  <si>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</si>
  <si>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</si>
  <si>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</si>
  <si>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</si>
  <si>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</si>
  <si>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</si>
  <si>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</si>
  <si>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</si>
  <si>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</si>
  <si>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</si>
  <si>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</si>
  <si>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</si>
  <si>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</si>
  <si>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</si>
  <si>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</si>
  <si>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</si>
  <si>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</si>
  <si>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</si>
  <si>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</si>
  <si>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</si>
  <si>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</si>
  <si>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</si>
  <si>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</si>
  <si>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</si>
  <si>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</si>
  <si>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</si>
  <si>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</si>
  <si>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</si>
  <si>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</si>
  <si>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</si>
  <si>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</si>
  <si>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</si>
  <si>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</si>
  <si>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</si>
  <si>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</si>
  <si>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</si>
  <si>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</si>
  <si>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</si>
  <si>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</si>
  <si>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</si>
  <si>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</si>
  <si>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</si>
  <si>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</si>
  <si>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</si>
  <si>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</si>
  <si>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</si>
  <si>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</si>
  <si>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</si>
  <si>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</si>
  <si>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</si>
  <si>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</si>
  <si>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</si>
  <si>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</si>
  <si>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</si>
  <si>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</si>
  <si>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</si>
  <si>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</si>
  <si>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</si>
  <si>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</si>
  <si>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</si>
  <si>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</si>
  <si>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</si>
  <si>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</si>
  <si>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</si>
  <si>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</si>
  <si>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</si>
  <si>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</si>
  <si>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</si>
  <si>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</si>
  <si>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</si>
  <si>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</si>
  <si>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</si>
  <si>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</si>
  <si>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</si>
  <si>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</si>
  <si>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</si>
  <si>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</si>
  <si>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</si>
  <si>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</si>
  <si>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</si>
  <si>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</si>
  <si>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</si>
  <si>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</si>
  <si>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</si>
  <si>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</si>
  <si>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</si>
  <si>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</si>
  <si>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</si>
  <si>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</si>
  <si>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</si>
  <si>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</si>
  <si>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</si>
  <si>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</si>
  <si>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</si>
  <si>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</si>
  <si>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</si>
  <si>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</si>
  <si>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</si>
  <si>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</si>
  <si>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</si>
  <si>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</si>
  <si>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</si>
  <si>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</si>
  <si>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</si>
  <si>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</si>
  <si>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</si>
  <si>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</si>
  <si>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</si>
  <si>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</si>
  <si>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</si>
  <si>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</si>
  <si>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</si>
  <si>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</si>
  <si>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</si>
  <si>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</si>
  <si>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</si>
  <si>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</si>
  <si>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</si>
  <si>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</si>
  <si>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</si>
  <si>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</si>
  <si>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</si>
  <si>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</si>
  <si>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</si>
  <si>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</si>
  <si>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</si>
  <si>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</si>
  <si>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</si>
  <si>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</si>
  <si>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</si>
  <si>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</si>
  <si>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</si>
  <si>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</si>
  <si>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</si>
  <si>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</si>
  <si>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</si>
  <si>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</si>
  <si>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</si>
  <si>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</si>
  <si>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</si>
  <si>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</si>
  <si>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</si>
  <si>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</si>
  <si>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</si>
  <si>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</si>
  <si>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</si>
  <si>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</si>
  <si>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</si>
  <si>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</si>
  <si>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</si>
  <si>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</si>
  <si>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</si>
  <si>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</si>
  <si>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</si>
  <si>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</si>
  <si>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</si>
  <si>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</si>
  <si>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</si>
  <si>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</si>
  <si>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</si>
  <si>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</si>
  <si>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</si>
  <si>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</si>
  <si>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</si>
  <si>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</si>
  <si>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</si>
  <si>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</si>
  <si>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</si>
  <si>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</si>
  <si>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</si>
  <si>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</si>
  <si>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</si>
  <si>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</si>
  <si>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</si>
  <si>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</si>
  <si>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</si>
  <si>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</si>
  <si>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</si>
  <si>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</si>
  <si>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</si>
  <si>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</si>
  <si>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</si>
  <si>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</si>
  <si>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</si>
  <si>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</si>
  <si>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</si>
  <si>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</si>
  <si>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</si>
  <si>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</si>
  <si>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</si>
  <si>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</si>
  <si>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</si>
  <si>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</si>
  <si>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</si>
  <si>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</si>
  <si>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</si>
  <si>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</si>
  <si>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</si>
  <si>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</si>
  <si>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</si>
  <si>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</si>
  <si>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</si>
  <si>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</si>
  <si>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</si>
  <si>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</si>
  <si>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</si>
  <si>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</si>
  <si>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</si>
  <si>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</si>
  <si>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</si>
  <si>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</si>
  <si>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</si>
  <si>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</si>
  <si>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</si>
  <si>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</si>
  <si>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</si>
  <si>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</si>
  <si>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</si>
  <si>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</si>
  <si>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</si>
  <si>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</si>
  <si>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</si>
  <si>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</si>
  <si>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</si>
  <si>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</si>
  <si>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</si>
  <si>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</si>
  <si>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</si>
  <si>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</si>
  <si>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</si>
  <si>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</si>
  <si>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</si>
  <si>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</si>
  <si>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</si>
  <si>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</si>
  <si>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</si>
  <si>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</si>
  <si>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</si>
  <si>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</si>
  <si>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</si>
  <si>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</si>
  <si>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</si>
  <si>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</si>
  <si>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</si>
  <si>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</si>
  <si>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</si>
  <si>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</si>
  <si>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</si>
  <si>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</si>
  <si>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</si>
  <si>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</si>
  <si>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</si>
  <si>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</si>
  <si>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</si>
  <si>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</si>
  <si>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</si>
  <si>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</si>
  <si>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</si>
  <si>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</si>
  <si>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</si>
  <si>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</si>
  <si>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</si>
  <si>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</si>
  <si>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</si>
  <si>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</si>
  <si>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</si>
  <si>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</si>
  <si>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</si>
  <si>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</si>
  <si>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</si>
  <si>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</si>
  <si>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</si>
  <si>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</si>
  <si>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</si>
  <si>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</si>
  <si>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</si>
  <si>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</si>
  <si>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</si>
  <si>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</si>
  <si>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</si>
  <si>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</si>
  <si>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</si>
  <si>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</si>
  <si>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</si>
  <si>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</si>
  <si>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</si>
  <si>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</si>
  <si>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</si>
  <si>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</si>
  <si>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</si>
  <si>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</si>
  <si>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</si>
  <si>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</si>
  <si>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</si>
  <si>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</si>
  <si>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</si>
  <si>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</si>
  <si>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</si>
  <si>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</si>
  <si>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</si>
  <si>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</si>
  <si>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</si>
  <si>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</si>
  <si>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</si>
  <si>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</si>
  <si>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</si>
  <si>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</si>
  <si>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</si>
  <si>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</si>
  <si>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</si>
  <si>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</si>
  <si>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</si>
  <si>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</si>
  <si>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</si>
  <si>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</si>
  <si>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</si>
  <si>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</si>
  <si>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</si>
  <si>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</si>
  <si>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</si>
  <si>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</si>
  <si>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</si>
  <si>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</si>
  <si>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</si>
  <si>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</si>
  <si>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</si>
  <si>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</si>
  <si>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</si>
  <si>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</si>
  <si>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</si>
  <si>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</si>
  <si>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</si>
  <si>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</si>
  <si>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</si>
  <si>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</si>
  <si>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</si>
  <si>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</si>
  <si>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</si>
  <si>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</si>
  <si>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</si>
  <si>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</si>
  <si>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</si>
  <si>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</si>
  <si>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</si>
  <si>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</si>
  <si>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</si>
  <si>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</si>
  <si>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</si>
  <si>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</si>
  <si>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</si>
  <si>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</si>
  <si>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</si>
  <si>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</si>
  <si>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</si>
  <si>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</si>
  <si>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</si>
  <si>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</si>
  <si>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</si>
  <si>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</si>
  <si>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</si>
  <si>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</si>
  <si>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</si>
  <si>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</si>
  <si>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</si>
  <si>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</si>
  <si>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</si>
  <si>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</si>
  <si>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</si>
  <si>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</si>
  <si>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</si>
  <si>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</si>
  <si>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</si>
  <si>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</si>
  <si>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</si>
  <si>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</si>
  <si>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</si>
  <si>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</si>
  <si>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</si>
  <si>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</si>
  <si>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</si>
  <si>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</si>
  <si>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</si>
  <si>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</si>
  <si>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</si>
  <si>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</si>
  <si>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</si>
  <si>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</si>
  <si>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</si>
  <si>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</si>
  <si>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</si>
  <si>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</si>
  <si>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</si>
  <si>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</si>
  <si>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</si>
  <si>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</si>
  <si>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</si>
  <si>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</si>
  <si>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</si>
  <si>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</si>
  <si>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</si>
  <si>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</si>
  <si>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</si>
  <si>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</si>
  <si>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</si>
  <si>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</si>
  <si>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</si>
  <si>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</si>
  <si>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</si>
  <si>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</si>
  <si>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</si>
  <si>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</si>
  <si>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</si>
  <si>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</si>
  <si>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</si>
  <si>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</si>
  <si>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</si>
  <si>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</si>
  <si>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</si>
  <si>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</si>
  <si>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</si>
  <si>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</si>
  <si>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</si>
  <si>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</si>
  <si>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</si>
  <si>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</si>
  <si>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</si>
  <si>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</si>
  <si>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</si>
  <si>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</si>
  <si>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</si>
  <si>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</si>
  <si>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</si>
  <si>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</si>
  <si>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</si>
  <si>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</si>
  <si>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</si>
  <si>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</si>
  <si>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</si>
  <si>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</si>
  <si>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</si>
  <si>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</si>
  <si>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</si>
  <si>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</si>
  <si>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</si>
  <si>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</si>
  <si>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</si>
  <si>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</si>
  <si>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</si>
  <si>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</si>
  <si>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</si>
  <si>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</si>
  <si>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</si>
  <si>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</si>
  <si>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</si>
  <si>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</si>
  <si>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</si>
  <si>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</si>
  <si>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</si>
  <si>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</si>
  <si>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</si>
  <si>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</si>
  <si>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</si>
  <si>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</si>
  <si>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</si>
  <si>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</si>
  <si>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</si>
  <si>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</si>
  <si>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</si>
  <si>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</si>
  <si>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</si>
  <si>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</si>
  <si>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</si>
  <si>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</si>
  <si>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</si>
  <si>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</si>
  <si>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</si>
  <si>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</si>
  <si>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</si>
  <si>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</si>
  <si>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</si>
  <si>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</si>
  <si>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</si>
  <si>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</si>
  <si>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</si>
  <si>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</si>
  <si>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</si>
  <si>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</si>
  <si>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</si>
  <si>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</si>
  <si>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</si>
  <si>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</si>
  <si>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</si>
  <si>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</si>
  <si>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</si>
  <si>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</si>
  <si>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</si>
  <si>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</si>
  <si>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</si>
  <si>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</si>
  <si>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</si>
  <si>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</si>
  <si>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</si>
  <si>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</si>
  <si>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</si>
  <si>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</si>
  <si>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</si>
  <si>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</si>
  <si>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</si>
  <si>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</si>
  <si>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</si>
  <si>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</si>
  <si>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</si>
  <si>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</si>
  <si>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</si>
  <si>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</si>
  <si>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</si>
  <si>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</si>
  <si>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</si>
  <si>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</si>
  <si>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</si>
  <si>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</si>
  <si>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</si>
  <si>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</si>
  <si>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</si>
  <si>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</si>
  <si>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</si>
  <si>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</si>
  <si>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</si>
  <si>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</si>
  <si>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</si>
  <si>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</si>
  <si>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</si>
  <si>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</si>
  <si>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</si>
  <si>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</si>
  <si>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</si>
  <si>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</si>
  <si>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</si>
  <si>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</si>
  <si>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</si>
  <si>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</si>
  <si>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</si>
  <si>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</si>
  <si>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</si>
  <si>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</si>
  <si>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</si>
  <si>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</si>
  <si>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</si>
  <si>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</si>
  <si>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</si>
  <si>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</si>
  <si>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</si>
  <si>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</si>
  <si>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</si>
  <si>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</si>
  <si>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</si>
  <si>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</si>
  <si>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</si>
  <si>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</si>
  <si>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</si>
  <si>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</si>
  <si>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</si>
  <si>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</si>
  <si>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</si>
  <si>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</si>
  <si>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</si>
  <si>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</si>
  <si>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</si>
  <si>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</si>
  <si>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</si>
  <si>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</si>
  <si>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</si>
  <si>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</si>
  <si>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</si>
  <si>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</si>
  <si>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</si>
  <si>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</si>
  <si>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</si>
  <si>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</si>
  <si>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</si>
  <si>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</si>
  <si>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</si>
  <si>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</si>
  <si>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</si>
  <si>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</si>
  <si>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</si>
  <si>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</si>
  <si>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</si>
  <si>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</si>
  <si>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</si>
  <si>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</si>
  <si>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</si>
  <si>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</si>
  <si>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</si>
  <si>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</si>
  <si>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</si>
  <si>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</si>
  <si>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</si>
  <si>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</si>
  <si>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</si>
  <si>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</si>
  <si>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</si>
  <si>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</si>
  <si>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</si>
  <si>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</si>
  <si>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</si>
  <si>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</si>
  <si>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</si>
  <si>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</si>
  <si>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</si>
  <si>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</si>
  <si>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</si>
  <si>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</si>
  <si>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</si>
  <si>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</si>
  <si>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</si>
  <si>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</si>
  <si>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</si>
  <si>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</si>
  <si>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</si>
  <si>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</si>
  <si>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</si>
  <si>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</si>
  <si>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</si>
  <si>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</si>
  <si>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</si>
  <si>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</si>
  <si>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</si>
  <si>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</si>
  <si>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</si>
  <si>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</si>
  <si>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</si>
  <si>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</si>
  <si>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</si>
  <si>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</si>
  <si>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</si>
  <si>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</si>
  <si>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</si>
  <si>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</si>
  <si>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</si>
  <si>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</si>
  <si>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</si>
  <si>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</si>
  <si>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</si>
  <si>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</si>
  <si>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</si>
  <si>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</si>
  <si>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</si>
  <si>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</si>
  <si>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</si>
  <si>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</si>
  <si>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</si>
  <si>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</si>
  <si>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</si>
  <si>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</si>
  <si>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</si>
  <si>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</si>
  <si>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</si>
  <si>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</si>
  <si>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</si>
  <si>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</si>
  <si>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</si>
  <si>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</si>
  <si>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</si>
  <si>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</si>
  <si>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</si>
  <si>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</si>
  <si>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</si>
  <si>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</si>
  <si>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</si>
  <si>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</si>
  <si>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</si>
  <si>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</si>
  <si>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</si>
  <si>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</si>
  <si>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</si>
  <si>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</si>
  <si>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</si>
  <si>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</si>
  <si>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</si>
  <si>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</si>
  <si>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</si>
  <si>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</si>
  <si>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</si>
  <si>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</si>
  <si>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</si>
  <si>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</si>
  <si>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</si>
  <si>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</si>
  <si>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</si>
  <si>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</si>
  <si>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</si>
  <si>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</si>
  <si>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</si>
  <si>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</si>
  <si>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</si>
  <si>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</si>
  <si>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</si>
  <si>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</si>
  <si>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</si>
  <si>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</si>
  <si>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</si>
  <si>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</si>
  <si>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</si>
  <si>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</si>
  <si>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</si>
  <si>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</si>
  <si>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</si>
  <si>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</si>
  <si>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</si>
  <si>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</si>
  <si>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</si>
  <si>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</si>
  <si>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</si>
  <si>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</si>
  <si>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</si>
  <si>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</si>
  <si>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</si>
  <si>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</si>
  <si>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</si>
  <si>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</si>
  <si>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</si>
  <si>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</si>
  <si>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</si>
  <si>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</si>
  <si>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</si>
  <si>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</si>
  <si>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</si>
  <si>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</si>
  <si>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</si>
  <si>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</si>
  <si>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</si>
  <si>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</si>
  <si>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</si>
  <si>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</si>
  <si>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</si>
  <si>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</si>
  <si>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</si>
  <si>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</si>
  <si>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</si>
  <si>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</si>
  <si>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</si>
  <si>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</si>
  <si>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</si>
  <si>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</si>
  <si>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</si>
  <si>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</si>
  <si>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</si>
  <si>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</si>
  <si>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</si>
  <si>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</si>
  <si>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</si>
  <si>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</si>
  <si>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</si>
  <si>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</si>
  <si>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</si>
  <si>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</si>
  <si>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</si>
  <si>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</si>
  <si>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</si>
  <si>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</si>
  <si>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</si>
  <si>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</si>
  <si>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</si>
  <si>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</si>
  <si>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</si>
  <si>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</si>
  <si>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</si>
  <si>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</si>
  <si>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</si>
  <si>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</si>
  <si>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</si>
  <si>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</si>
  <si>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</si>
  <si>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</si>
  <si>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</si>
  <si>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</si>
  <si>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</si>
  <si>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</si>
  <si>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</si>
  <si>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</si>
  <si>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</si>
  <si>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</si>
  <si>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</si>
  <si>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</si>
  <si>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</si>
  <si>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</si>
  <si>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</si>
  <si>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</si>
  <si>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</si>
  <si>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</si>
  <si>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</si>
  <si>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</si>
  <si>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</si>
  <si>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</si>
  <si>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</si>
  <si>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</si>
  <si>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</si>
  <si>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</si>
  <si>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</si>
  <si>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</si>
  <si>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</si>
  <si>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</si>
  <si>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</si>
  <si>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</si>
  <si>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</si>
  <si>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</si>
  <si>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</si>
  <si>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</si>
  <si>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</si>
  <si>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</si>
  <si>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</si>
  <si>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</si>
  <si>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</si>
  <si>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</si>
  <si>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</si>
  <si>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</si>
  <si>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</si>
  <si>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</si>
  <si>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</si>
  <si>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</si>
  <si>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</si>
  <si>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</si>
  <si>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</si>
  <si>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</si>
  <si>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</si>
  <si>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</si>
  <si>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</si>
  <si>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</si>
  <si>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</si>
  <si>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</si>
  <si>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</si>
  <si>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</si>
  <si>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</si>
  <si>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</si>
  <si>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</si>
  <si>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</si>
  <si>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</si>
  <si>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</si>
  <si>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</si>
  <si>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</si>
  <si>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</si>
  <si>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</si>
  <si>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</si>
  <si>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</si>
  <si>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</si>
  <si>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</si>
  <si>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</si>
  <si>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</si>
  <si>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</si>
  <si>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</si>
  <si>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</si>
  <si>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</si>
  <si>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</si>
  <si>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</si>
  <si>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</si>
  <si>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</si>
  <si>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</si>
  <si>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</si>
  <si>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</si>
  <si>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</si>
  <si>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</si>
  <si>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</si>
  <si>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</si>
  <si>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</si>
  <si>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</si>
  <si>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</si>
  <si>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</si>
  <si>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</si>
  <si>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</si>
  <si>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</si>
  <si>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</si>
  <si>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</si>
  <si>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</si>
  <si>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</si>
  <si>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</si>
  <si>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</si>
  <si>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</si>
  <si>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</si>
  <si>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</si>
  <si>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</si>
  <si>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</si>
  <si>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</si>
  <si>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</si>
  <si>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</si>
  <si>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</si>
  <si>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</si>
  <si>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</si>
  <si>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</si>
  <si>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</si>
  <si>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</si>
  <si>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</si>
  <si>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</si>
  <si>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</si>
  <si>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</si>
  <si>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</si>
  <si>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</si>
  <si>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</si>
  <si>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</si>
  <si>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</si>
  <si>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</si>
  <si>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</si>
  <si>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</si>
  <si>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</si>
  <si>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</si>
  <si>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</si>
  <si>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</si>
  <si>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</si>
  <si>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</si>
  <si>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</si>
  <si>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</si>
  <si>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</si>
  <si>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</si>
  <si>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</si>
  <si>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</si>
  <si>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</si>
  <si>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</si>
  <si>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</si>
  <si>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</si>
  <si>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</si>
  <si>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</si>
  <si>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</si>
  <si>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</si>
  <si>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</si>
  <si>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</si>
  <si>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</si>
  <si>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</si>
  <si>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</si>
  <si>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</si>
  <si>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</si>
  <si>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</si>
  <si>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</si>
  <si>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</si>
  <si>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</si>
  <si>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</si>
  <si>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</si>
  <si>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</si>
  <si>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</si>
  <si>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</si>
  <si>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</si>
  <si>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</si>
  <si>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</si>
  <si>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</si>
  <si>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</si>
  <si>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</si>
  <si>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</si>
  <si>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</si>
  <si>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</si>
  <si>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</si>
  <si>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</si>
  <si>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</si>
  <si>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</si>
  <si>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</si>
  <si>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</si>
  <si>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</si>
  <si>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</si>
  <si>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</si>
  <si>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</si>
  <si>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</si>
  <si>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</si>
  <si>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</si>
  <si>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</si>
  <si>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</si>
  <si>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</si>
  <si>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</si>
  <si>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</si>
  <si>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</si>
  <si>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</si>
  <si>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</si>
  <si>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</si>
  <si>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</si>
  <si>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</si>
  <si>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</si>
  <si>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</si>
  <si>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</si>
  <si>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</si>
  <si>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</si>
  <si>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</si>
  <si>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</si>
  <si>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</si>
  <si>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</si>
  <si>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</si>
  <si>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</si>
  <si>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</si>
  <si>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</si>
  <si>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</si>
  <si>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</si>
  <si>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</si>
  <si>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</si>
  <si>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</si>
  <si>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</si>
  <si>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</si>
  <si>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</si>
  <si>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</si>
  <si>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</si>
  <si>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</si>
  <si>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</si>
  <si>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</si>
  <si>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</si>
  <si>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</si>
  <si>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</si>
  <si>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</si>
  <si>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</si>
  <si>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</si>
  <si>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</si>
  <si>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</si>
  <si>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</si>
  <si>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</si>
  <si>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</si>
  <si>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</si>
  <si>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</si>
  <si>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</si>
  <si>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</si>
  <si>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</si>
  <si>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</si>
  <si>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</si>
  <si>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</si>
  <si>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</si>
  <si>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</si>
  <si>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</si>
  <si>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</si>
  <si>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</si>
  <si>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</si>
  <si>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</si>
  <si>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</si>
  <si>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</si>
  <si>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</si>
  <si>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</si>
  <si>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</si>
  <si>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</si>
  <si>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</si>
  <si>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</si>
  <si>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</si>
  <si>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</si>
  <si>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</si>
  <si>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</si>
  <si>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</si>
  <si>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</si>
  <si>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</si>
  <si>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</si>
  <si>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</si>
  <si>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</si>
  <si>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</si>
  <si>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</si>
  <si>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</si>
  <si>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</si>
  <si>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</si>
  <si>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</si>
  <si>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</si>
  <si>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</si>
  <si>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</si>
  <si>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</si>
  <si>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</si>
  <si>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</si>
  <si>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</si>
  <si>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</si>
  <si>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</si>
  <si>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</si>
  <si>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</si>
  <si>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</si>
  <si>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</si>
  <si>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</si>
  <si>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</si>
  <si>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</si>
  <si>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</si>
  <si>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</si>
  <si>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</si>
  <si>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</si>
  <si>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</si>
  <si>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</si>
  <si>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</si>
  <si>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</si>
  <si>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</si>
  <si>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</si>
  <si>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</si>
  <si>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</si>
  <si>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</si>
  <si>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</si>
  <si>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</si>
  <si>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</si>
  <si>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</si>
  <si>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</si>
  <si>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</si>
  <si>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</si>
  <si>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</si>
  <si>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</si>
  <si>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</si>
  <si>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</si>
  <si>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</si>
  <si>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</si>
  <si>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</si>
  <si>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</si>
  <si>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</si>
  <si>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</si>
  <si>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</si>
  <si>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</si>
  <si>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</si>
  <si>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</si>
  <si>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</si>
  <si>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</si>
  <si>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</si>
  <si>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</si>
  <si>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</si>
  <si>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</si>
  <si>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</si>
  <si>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</si>
  <si>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</si>
  <si>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</si>
  <si>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</si>
  <si>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</si>
  <si>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</si>
  <si>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</si>
  <si>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</si>
  <si>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</si>
  <si>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</si>
  <si>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</si>
  <si>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</si>
  <si>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</si>
  <si>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</si>
  <si>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</si>
  <si>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</si>
  <si>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</si>
  <si>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</si>
  <si>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</si>
  <si>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</si>
  <si>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</si>
  <si>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</si>
  <si>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</si>
  <si>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</si>
  <si>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</si>
  <si>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</si>
  <si>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</si>
  <si>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</si>
  <si>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</si>
  <si>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</si>
  <si>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</si>
  <si>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</si>
  <si>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</si>
  <si>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</si>
  <si>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</si>
  <si>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</si>
  <si>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</si>
  <si>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</si>
  <si>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</si>
  <si>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</si>
  <si>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</si>
  <si>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</si>
  <si>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</si>
  <si>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</si>
  <si>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</si>
  <si>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</si>
  <si>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</si>
  <si>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</si>
  <si>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</si>
  <si>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</si>
  <si>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</si>
  <si>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</si>
  <si>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</si>
  <si>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</si>
  <si>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</si>
  <si>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</si>
  <si>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</si>
  <si>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</si>
  <si>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</si>
  <si>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</si>
  <si>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</si>
  <si>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</si>
  <si>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</si>
  <si>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</si>
  <si>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</si>
  <si>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</si>
  <si>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</si>
  <si>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</si>
  <si>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</si>
  <si>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</si>
  <si>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</si>
  <si>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</si>
  <si>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</si>
  <si>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</si>
  <si>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</si>
  <si>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</si>
  <si>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</si>
  <si>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</si>
  <si>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</si>
  <si>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</si>
  <si>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</si>
  <si>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</si>
  <si>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</si>
  <si>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</si>
  <si>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</si>
  <si>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</si>
  <si>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</si>
  <si>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</si>
  <si>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</si>
  <si>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</si>
  <si>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</si>
  <si>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</si>
  <si>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</si>
  <si>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</si>
  <si>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</si>
  <si>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</si>
  <si>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</si>
  <si>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</si>
  <si>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</si>
  <si>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</si>
  <si>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</si>
  <si>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</si>
  <si>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</si>
  <si>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</si>
  <si>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</si>
  <si>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</si>
  <si>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</si>
  <si>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</si>
  <si>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</si>
  <si>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</si>
  <si>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</si>
  <si>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</si>
  <si>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</si>
  <si>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</si>
  <si>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</si>
  <si>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</si>
  <si>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</si>
  <si>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</si>
  <si>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</si>
  <si>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</si>
  <si>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</si>
  <si>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</si>
  <si>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</si>
  <si>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</si>
  <si>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</si>
  <si>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</si>
  <si>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</si>
  <si>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</si>
  <si>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</si>
  <si>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</si>
  <si>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</si>
  <si>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</si>
  <si>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</si>
  <si>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</si>
  <si>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</si>
  <si>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</si>
  <si>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</si>
  <si>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</si>
  <si>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</si>
  <si>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</si>
  <si>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</si>
  <si>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</si>
  <si>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</si>
  <si>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</si>
  <si>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</si>
  <si>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</si>
  <si>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</si>
  <si>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</si>
  <si>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</si>
  <si>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</si>
  <si>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</si>
  <si>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</si>
  <si>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</si>
  <si>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</si>
  <si>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</si>
  <si>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</si>
  <si>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</si>
  <si>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</si>
  <si>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</si>
  <si>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</si>
  <si>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</si>
  <si>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</si>
  <si>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</si>
  <si>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</si>
  <si>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</si>
  <si>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</si>
  <si>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</si>
  <si>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</si>
  <si>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</si>
  <si>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</si>
  <si>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</si>
  <si>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</si>
  <si>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</si>
  <si>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</si>
  <si>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</si>
  <si>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</si>
  <si>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</si>
  <si>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</si>
  <si>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</si>
  <si>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</si>
  <si>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</si>
  <si>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</si>
  <si>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</si>
  <si>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</si>
  <si>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</si>
  <si>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</si>
  <si>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</si>
  <si>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</si>
  <si>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</si>
  <si>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</si>
  <si>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</si>
  <si>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</si>
  <si>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</si>
  <si>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</si>
  <si>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</si>
  <si>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</si>
  <si>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</si>
  <si>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</si>
  <si>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</si>
  <si>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</si>
  <si>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</si>
  <si>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</si>
  <si>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</si>
  <si>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</si>
  <si>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</si>
  <si>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</si>
  <si>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</si>
  <si>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</si>
  <si>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</si>
  <si>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</si>
  <si>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</si>
  <si>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</si>
  <si>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</si>
  <si>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</si>
  <si>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</si>
  <si>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</si>
  <si>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</si>
  <si>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</si>
  <si>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</si>
  <si>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</si>
  <si>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</si>
  <si>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</si>
  <si>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</si>
  <si>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</si>
  <si>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</si>
  <si>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</si>
  <si>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</si>
  <si>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</si>
  <si>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</si>
  <si>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</si>
  <si>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</si>
  <si>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</si>
  <si>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</si>
  <si>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</si>
  <si>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</si>
  <si>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</si>
  <si>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</si>
  <si>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</si>
  <si>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</si>
  <si>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</si>
  <si>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</si>
  <si>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</si>
  <si>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</si>
  <si>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</si>
  <si>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</si>
  <si>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</si>
  <si>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</si>
  <si>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</si>
  <si>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</si>
  <si>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</si>
  <si>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</si>
  <si>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</si>
  <si>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</si>
  <si>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</si>
  <si>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</si>
  <si>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</si>
  <si>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</si>
  <si>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</si>
  <si>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</si>
  <si>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</si>
  <si>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</si>
  <si>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</si>
  <si>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</si>
  <si>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</si>
  <si>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</si>
  <si>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</si>
  <si>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</si>
  <si>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</si>
  <si>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</si>
  <si>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</si>
  <si>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</si>
  <si>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</si>
  <si>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</si>
  <si>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</si>
  <si>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</si>
  <si>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</si>
  <si>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</si>
  <si>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</si>
  <si>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</si>
  <si>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</si>
  <si>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</si>
  <si>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</si>
  <si>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</si>
  <si>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</si>
  <si>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</si>
  <si>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</si>
  <si>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</si>
  <si>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</si>
  <si>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</si>
  <si>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</si>
  <si>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</si>
  <si>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</si>
  <si>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</si>
  <si>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</si>
  <si>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</si>
  <si>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</si>
  <si>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</si>
  <si>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</si>
  <si>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</si>
  <si>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</si>
  <si>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</si>
  <si>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</si>
  <si>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</si>
  <si>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</si>
  <si>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</si>
  <si>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</si>
  <si>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</si>
  <si>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</si>
  <si>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</si>
  <si>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</si>
  <si>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</si>
  <si>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</si>
  <si>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</si>
  <si>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</si>
  <si>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</si>
  <si>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</si>
  <si>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</si>
  <si>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</si>
  <si>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</si>
  <si>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</si>
  <si>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</si>
  <si>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</si>
  <si>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</si>
  <si>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</si>
  <si>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</si>
  <si>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</si>
  <si>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</si>
  <si>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</si>
  <si>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</si>
  <si>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</si>
  <si>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</si>
  <si>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</si>
  <si>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</si>
  <si>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</si>
  <si>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</si>
  <si>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</si>
  <si>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</si>
  <si>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</si>
  <si>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</si>
  <si>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</si>
  <si>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</si>
  <si>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</si>
  <si>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</si>
  <si>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</si>
  <si>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</si>
  <si>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</si>
  <si>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</si>
  <si>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</si>
  <si>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</si>
  <si>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</si>
  <si>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</si>
  <si>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</si>
  <si>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</si>
  <si>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</si>
  <si>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</si>
  <si>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</si>
  <si>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</si>
  <si>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</si>
  <si>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</si>
  <si>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</si>
  <si>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</si>
  <si>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</si>
  <si>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</si>
  <si>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</si>
  <si>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</si>
  <si>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</si>
  <si>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</si>
  <si>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</si>
  <si>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</si>
  <si>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</si>
  <si>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</si>
  <si>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</si>
  <si>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</si>
  <si>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</si>
  <si>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</si>
  <si>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</si>
  <si>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</si>
  <si>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</si>
  <si>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</si>
  <si>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</si>
  <si>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</si>
  <si>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</si>
  <si>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</si>
  <si>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</si>
  <si>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</si>
  <si>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</si>
  <si>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</si>
  <si>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</si>
  <si>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</si>
  <si>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</si>
  <si>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</si>
  <si>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</si>
  <si>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</si>
  <si>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</si>
  <si>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</si>
  <si>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</si>
  <si>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</si>
  <si>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</si>
  <si>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</si>
  <si>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</si>
  <si>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</si>
  <si>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</si>
  <si>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</si>
  <si>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</si>
  <si>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</si>
  <si>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</si>
  <si>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</si>
  <si>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</si>
  <si>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</si>
  <si>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</si>
  <si>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</si>
  <si>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</si>
  <si>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</si>
  <si>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</si>
  <si>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</si>
  <si>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</si>
  <si>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</si>
  <si>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</si>
  <si>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</si>
  <si>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</si>
  <si>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</si>
  <si>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</si>
  <si>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</si>
  <si>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</si>
  <si>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</si>
  <si>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</si>
  <si>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</si>
  <si>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</si>
  <si>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</si>
  <si>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</si>
  <si>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</si>
  <si>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</si>
  <si>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</si>
  <si>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</si>
  <si>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</si>
  <si>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</si>
  <si>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</si>
  <si>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</si>
  <si>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</si>
  <si>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</si>
  <si>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</si>
  <si>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</si>
  <si>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</si>
  <si>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</si>
  <si>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</si>
  <si>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</si>
  <si>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</si>
  <si>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</si>
  <si>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</si>
  <si>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</si>
  <si>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</si>
  <si>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</si>
  <si>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</si>
  <si>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</si>
  <si>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</si>
  <si>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</si>
  <si>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</si>
  <si>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</si>
  <si>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</si>
  <si>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</si>
  <si>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</si>
  <si>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</si>
  <si>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</si>
  <si>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</si>
  <si>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</si>
  <si>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</si>
  <si>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</si>
  <si>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</si>
  <si>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</si>
  <si>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</si>
  <si>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</si>
  <si>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</si>
  <si>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</si>
  <si>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</si>
  <si>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</si>
  <si>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</si>
  <si>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</si>
  <si>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</si>
  <si>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</si>
  <si>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</si>
  <si>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</si>
  <si>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</si>
  <si>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</si>
  <si>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</si>
  <si>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</si>
  <si>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</si>
  <si>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</si>
  <si>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</si>
  <si>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</si>
  <si>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</si>
  <si>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</si>
  <si>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</si>
  <si>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</si>
  <si>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</si>
  <si>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</si>
  <si>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</si>
  <si>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</si>
  <si>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</si>
  <si>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</si>
  <si>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</si>
  <si>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</si>
  <si>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</si>
  <si>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</si>
  <si>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</si>
  <si>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</si>
  <si>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</si>
  <si>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</si>
  <si>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</si>
  <si>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</si>
  <si>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</si>
  <si>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</si>
  <si>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</si>
  <si>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</si>
  <si>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</si>
  <si>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</si>
  <si>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</si>
  <si>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</si>
  <si>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</si>
  <si>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</si>
  <si>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</si>
  <si>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</si>
  <si>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</si>
  <si>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</si>
  <si>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</si>
  <si>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</si>
  <si>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</si>
  <si>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</si>
  <si>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</si>
  <si>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</si>
  <si>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</si>
  <si>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</si>
  <si>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</si>
  <si>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</si>
  <si>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</si>
  <si>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</si>
  <si>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</si>
  <si>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</si>
  <si>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</si>
  <si>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</si>
  <si>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</si>
  <si>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</si>
  <si>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</si>
  <si>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</si>
  <si>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</si>
  <si>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</si>
  <si>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</si>
  <si>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</si>
  <si>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</si>
  <si>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</si>
  <si>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</si>
  <si>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</si>
  <si>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</si>
  <si>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</si>
  <si>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</si>
  <si>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</si>
  <si>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</si>
  <si>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</si>
  <si>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</si>
  <si>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</si>
  <si>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</si>
  <si>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</si>
  <si>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</si>
  <si>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</si>
  <si>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</si>
  <si>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</si>
  <si>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</si>
  <si>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</si>
  <si>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</si>
  <si>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</si>
  <si>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</si>
  <si>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</si>
  <si>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</si>
  <si>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</si>
  <si>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</si>
  <si>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</si>
  <si>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</si>
  <si>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</si>
  <si>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</si>
  <si>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</si>
  <si>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</si>
  <si>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</si>
  <si>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</si>
  <si>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</si>
  <si>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</si>
  <si>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</si>
  <si>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</si>
  <si>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</si>
  <si>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</si>
  <si>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</si>
  <si>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</si>
  <si>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</si>
  <si>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</si>
  <si>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</si>
  <si>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</si>
  <si>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</si>
  <si>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</si>
  <si>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</si>
  <si>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</si>
  <si>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</si>
  <si>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</si>
  <si>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</si>
  <si>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</si>
  <si>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</si>
  <si>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</si>
  <si>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</si>
  <si>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</si>
  <si>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</si>
  <si>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</si>
  <si>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</si>
  <si>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</si>
  <si>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</si>
  <si>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</si>
  <si>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</si>
  <si>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</si>
  <si>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</si>
  <si>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</si>
  <si>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</si>
  <si>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</si>
  <si>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</si>
  <si>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</si>
  <si>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</si>
  <si>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</si>
  <si>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</si>
  <si>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</si>
  <si>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</si>
  <si>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</si>
  <si>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</si>
  <si>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</si>
  <si>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</si>
  <si>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</si>
  <si>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</si>
  <si>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</si>
  <si>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</si>
  <si>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</si>
  <si>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</si>
  <si>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</si>
  <si>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</si>
  <si>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</si>
  <si>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</si>
  <si>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</si>
  <si>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</si>
  <si>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</si>
  <si>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</si>
  <si>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</si>
  <si>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</si>
  <si>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</si>
  <si>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</si>
  <si>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</si>
  <si>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</si>
  <si>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</si>
  <si>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</si>
  <si>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</si>
  <si>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</si>
  <si>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</si>
  <si>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</si>
  <si>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</si>
  <si>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</si>
  <si>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</si>
  <si>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</si>
  <si>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</si>
  <si>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</si>
  <si>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</si>
  <si>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</si>
  <si>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</si>
  <si>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</si>
  <si>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</si>
  <si>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</si>
  <si>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</si>
  <si>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</si>
  <si>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</si>
  <si>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</si>
  <si>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</si>
  <si>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</si>
  <si>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</si>
  <si>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</si>
  <si>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</si>
  <si>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</si>
  <si>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</si>
  <si>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</si>
  <si>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</si>
  <si>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</si>
  <si>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</si>
  <si>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</si>
  <si>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</si>
  <si>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</si>
  <si>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</si>
  <si>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</si>
  <si>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</si>
  <si>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</si>
  <si>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</si>
  <si>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</si>
  <si>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</si>
  <si>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</si>
  <si>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</si>
  <si>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</si>
  <si>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</si>
  <si>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</si>
  <si>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</si>
  <si>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</si>
  <si>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</si>
  <si>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</si>
  <si>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</si>
  <si>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</si>
  <si>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</si>
  <si>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</si>
  <si>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</si>
  <si>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</si>
  <si>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</si>
  <si>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</si>
  <si>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</si>
  <si>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</si>
  <si>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</si>
  <si>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</si>
  <si>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</si>
  <si>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</si>
  <si>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</si>
  <si>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</si>
  <si>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</si>
  <si>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</si>
  <si>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</si>
  <si>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</si>
  <si>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</si>
  <si>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</si>
  <si>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</si>
  <si>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</si>
  <si>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</si>
  <si>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</si>
  <si>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</si>
  <si>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</si>
  <si>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</si>
  <si>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</si>
  <si>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</si>
  <si>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</si>
  <si>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</si>
  <si>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</si>
  <si>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</si>
  <si>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</si>
  <si>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</si>
  <si>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</si>
  <si>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</si>
  <si>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</si>
  <si>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</si>
  <si>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</si>
  <si>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</si>
  <si>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</si>
  <si>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</si>
  <si>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</si>
  <si>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</si>
  <si>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</si>
  <si>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</si>
  <si>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</si>
  <si>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</si>
  <si>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</si>
  <si>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</si>
  <si>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</si>
  <si>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</si>
  <si>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</si>
  <si>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</si>
  <si>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</si>
  <si>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</si>
  <si>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</si>
  <si>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</si>
  <si>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</si>
  <si>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</si>
  <si>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</si>
  <si>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</si>
  <si>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</si>
  <si>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</si>
  <si>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</si>
  <si>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</si>
  <si>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</si>
  <si>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</si>
  <si>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</si>
  <si>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</si>
  <si>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</si>
  <si>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</si>
  <si>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</si>
  <si>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</si>
  <si>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</si>
  <si>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</si>
  <si>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</si>
  <si>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</si>
  <si>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</si>
  <si>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</si>
  <si>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</si>
  <si>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</si>
  <si>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</si>
  <si>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</si>
  <si>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</si>
  <si>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</si>
  <si>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</si>
  <si>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</si>
  <si>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</si>
  <si>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</si>
  <si>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</si>
  <si>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</si>
  <si>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</si>
  <si>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</si>
  <si>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</si>
  <si>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</si>
  <si>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</si>
  <si>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</si>
  <si>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</si>
  <si>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</si>
  <si>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</si>
  <si>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</si>
  <si>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</si>
  <si>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</si>
  <si>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</si>
  <si>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</si>
  <si>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</si>
  <si>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</si>
  <si>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</si>
  <si>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</si>
  <si>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</si>
  <si>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</si>
  <si>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</si>
  <si>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</si>
  <si>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</si>
  <si>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</si>
  <si>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</si>
  <si>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</si>
  <si>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</si>
  <si>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</si>
  <si>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</si>
  <si>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</si>
  <si>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</si>
  <si>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</si>
  <si>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</si>
  <si>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</si>
  <si>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</si>
  <si>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</si>
  <si>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</si>
  <si>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</si>
  <si>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</si>
  <si>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</si>
  <si>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</si>
  <si>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</si>
  <si>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</si>
  <si>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</si>
  <si>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</si>
  <si>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</si>
  <si>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</si>
  <si>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</si>
  <si>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</si>
  <si>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</si>
  <si>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</si>
  <si>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</si>
  <si>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</si>
  <si>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</si>
  <si>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</si>
  <si>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</si>
  <si>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</si>
  <si>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</si>
  <si>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</si>
  <si>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</si>
  <si>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</si>
  <si>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</si>
  <si>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</si>
  <si>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</si>
  <si>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</si>
  <si>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</si>
  <si>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</si>
  <si>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</si>
  <si>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</si>
  <si>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</si>
  <si>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</si>
  <si>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</si>
  <si>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</si>
  <si>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</si>
  <si>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</si>
  <si>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</si>
  <si>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</si>
  <si>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</si>
  <si>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</si>
  <si>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</si>
  <si>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</si>
  <si>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</si>
  <si>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</si>
  <si>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</si>
  <si>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</si>
  <si>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</si>
  <si>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</si>
  <si>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</si>
  <si>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</si>
  <si>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</si>
  <si>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</si>
  <si>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</si>
  <si>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</si>
  <si>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</si>
  <si>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</si>
  <si>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</si>
  <si>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</si>
  <si>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</si>
  <si>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</si>
  <si>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</si>
  <si>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</si>
  <si>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</si>
  <si>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</si>
  <si>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</si>
  <si>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</si>
  <si>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</si>
  <si>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</si>
  <si>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</si>
  <si>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</si>
  <si>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</si>
  <si>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</si>
  <si>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</si>
  <si>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</si>
  <si>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</si>
  <si>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</si>
  <si>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</si>
  <si>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</si>
  <si>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</si>
  <si>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</si>
  <si>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</si>
  <si>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</si>
  <si>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</si>
  <si>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</si>
  <si>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</si>
  <si>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</si>
  <si>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</si>
  <si>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</si>
  <si>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</si>
  <si>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</si>
  <si>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</si>
  <si>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</si>
  <si>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</si>
  <si>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</si>
  <si>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</si>
  <si>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</si>
  <si>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</si>
  <si>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</si>
  <si>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</si>
  <si>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</si>
  <si>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</si>
  <si>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</si>
  <si>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</si>
  <si>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</si>
  <si>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</si>
  <si>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</si>
  <si>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</si>
  <si>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</si>
  <si>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</si>
  <si>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</si>
  <si>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</si>
  <si>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</si>
  <si>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</si>
  <si>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</si>
  <si>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</si>
  <si>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</si>
  <si>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</si>
  <si>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</si>
  <si>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</si>
  <si>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</si>
  <si>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</si>
  <si>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</si>
  <si>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</si>
  <si>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</si>
  <si>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</si>
  <si>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</si>
  <si>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</si>
  <si>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</si>
  <si>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</si>
  <si>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</si>
  <si>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</si>
  <si>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</si>
  <si>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</si>
  <si>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</si>
  <si>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</si>
  <si>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</si>
  <si>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</si>
  <si>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</si>
  <si>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</si>
  <si>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</si>
  <si>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</si>
  <si>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</si>
  <si>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</si>
  <si>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</si>
  <si>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</si>
  <si>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</si>
  <si>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</si>
  <si>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</si>
  <si>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</si>
  <si>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</si>
  <si>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</si>
  <si>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</si>
  <si>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</si>
  <si>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</si>
  <si>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</si>
  <si>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</si>
  <si>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</si>
  <si>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</si>
  <si>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</si>
  <si>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</si>
  <si>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</si>
  <si>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</si>
  <si>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</si>
  <si>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</si>
  <si>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</si>
  <si>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</si>
  <si>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</si>
  <si>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</si>
  <si>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</si>
  <si>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</si>
  <si>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</si>
  <si>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</si>
  <si>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</si>
  <si>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</si>
  <si>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</si>
  <si>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</si>
  <si>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</si>
  <si>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</si>
  <si>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</si>
  <si>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</si>
  <si>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</si>
  <si>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</si>
  <si>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</si>
  <si>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</si>
  <si>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</si>
  <si>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</si>
  <si>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</si>
  <si>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</si>
  <si>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</si>
  <si>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</si>
  <si>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</si>
  <si>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</si>
  <si>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</si>
  <si>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</si>
  <si>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</si>
  <si>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</si>
  <si>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</si>
  <si>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</si>
  <si>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</si>
  <si>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</si>
  <si>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</si>
  <si>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</si>
  <si>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</si>
  <si>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</si>
  <si>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</si>
  <si>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</si>
  <si>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</si>
  <si>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</si>
  <si>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</si>
  <si>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</si>
  <si>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</si>
  <si>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</si>
  <si>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</si>
  <si>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</si>
  <si>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</si>
  <si>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</si>
  <si>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</si>
  <si>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</si>
  <si>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</si>
  <si>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</si>
  <si>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</si>
  <si>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</si>
  <si>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</si>
  <si>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</si>
  <si>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</si>
  <si>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</si>
  <si>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</si>
  <si>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</si>
  <si>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</si>
  <si>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</si>
  <si>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</si>
  <si>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</si>
  <si>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</si>
  <si>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</si>
  <si>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</si>
  <si>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</si>
  <si>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</si>
  <si>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</si>
  <si>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</si>
  <si>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</si>
  <si>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</si>
  <si>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</si>
  <si>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</si>
  <si>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</si>
  <si>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</si>
  <si>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</si>
  <si>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</si>
  <si>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</si>
  <si>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</si>
  <si>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</si>
  <si>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</si>
  <si>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</si>
  <si>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</si>
  <si>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</si>
  <si>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</si>
  <si>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</si>
  <si>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</si>
  <si>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</si>
  <si>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</si>
  <si>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</si>
  <si>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</si>
  <si>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</si>
  <si>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</si>
  <si>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</si>
  <si>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</si>
  <si>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</si>
  <si>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</si>
  <si>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</si>
  <si>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</si>
  <si>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</si>
  <si>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</si>
  <si>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</si>
  <si>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</si>
  <si>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</si>
  <si>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</si>
  <si>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</si>
  <si>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</si>
  <si>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</si>
  <si>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</si>
  <si>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</si>
  <si>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</si>
  <si>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</si>
  <si>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</si>
  <si>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</si>
  <si>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</si>
  <si>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</si>
  <si>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</si>
  <si>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</si>
  <si>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</si>
  <si>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</si>
  <si>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</si>
  <si>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</si>
  <si>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</si>
  <si>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</si>
  <si>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</si>
  <si>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</si>
  <si>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</si>
  <si>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</si>
  <si>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</si>
  <si>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</si>
  <si>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</si>
  <si>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</si>
  <si>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</si>
  <si>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</si>
  <si>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</si>
  <si>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</si>
  <si>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</si>
  <si>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</si>
  <si>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</si>
  <si>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</si>
  <si>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</si>
  <si>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</si>
  <si>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</si>
  <si>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</si>
  <si>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</si>
  <si>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</si>
  <si>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</si>
  <si>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</si>
  <si>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</si>
  <si>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</si>
  <si>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</si>
  <si>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</si>
  <si>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</si>
  <si>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</si>
  <si>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</si>
  <si>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</si>
  <si>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</si>
  <si>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</si>
  <si>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</si>
  <si>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</si>
  <si>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</si>
  <si>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</si>
  <si>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</si>
  <si>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</si>
  <si>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</si>
  <si>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</si>
  <si>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</si>
  <si>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</si>
  <si>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</si>
  <si>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</si>
  <si>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</si>
  <si>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</si>
  <si>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</si>
  <si>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</si>
  <si>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</si>
  <si>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</si>
  <si>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</si>
  <si>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</si>
  <si>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</si>
  <si>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</si>
  <si>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</si>
  <si>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</si>
  <si>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</si>
  <si>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</si>
  <si>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</si>
  <si>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</si>
  <si>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</si>
  <si>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</si>
  <si>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</si>
  <si>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</si>
  <si>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</si>
  <si>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</si>
  <si>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</si>
  <si>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</si>
  <si>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</si>
  <si>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</si>
  <si>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</si>
  <si>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</si>
  <si>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</si>
  <si>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</si>
  <si>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</si>
  <si>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</si>
  <si>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</si>
  <si>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</si>
  <si>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</si>
  <si>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</si>
  <si>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</si>
  <si>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</si>
  <si>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</si>
  <si>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</si>
  <si>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</si>
  <si>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</si>
  <si>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</si>
  <si>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</si>
  <si>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</si>
  <si>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</si>
  <si>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</si>
  <si>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</si>
  <si>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</si>
  <si>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</si>
  <si>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</si>
  <si>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</si>
  <si>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</si>
  <si>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</si>
  <si>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</si>
  <si>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</si>
  <si>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</si>
  <si>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</si>
  <si>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</si>
  <si>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</si>
  <si>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</si>
  <si>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</si>
  <si>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</si>
  <si>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</si>
  <si>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</si>
  <si>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</si>
  <si>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</si>
  <si>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</si>
  <si>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</si>
  <si>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</si>
  <si>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</si>
  <si>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</si>
  <si>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</si>
  <si>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</si>
  <si>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</si>
  <si>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</si>
  <si>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</si>
  <si>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</si>
  <si>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</si>
  <si>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</si>
  <si>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</si>
  <si>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</si>
  <si>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</si>
  <si>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</si>
  <si>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</si>
  <si>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</si>
  <si>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</si>
  <si>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</si>
  <si>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</si>
  <si>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</si>
  <si>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</si>
  <si>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</si>
  <si>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</si>
  <si>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</si>
  <si>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</si>
  <si>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</si>
  <si>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</si>
  <si>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</si>
  <si>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</si>
  <si>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</si>
  <si>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</si>
  <si>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</si>
  <si>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</si>
  <si>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</si>
  <si>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</si>
  <si>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</si>
  <si>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</si>
  <si>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</si>
  <si>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</si>
  <si>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</si>
  <si>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</si>
  <si>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</si>
  <si>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</si>
  <si>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</si>
  <si>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</si>
  <si>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</si>
  <si>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</si>
  <si>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</si>
  <si>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</si>
  <si>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</si>
  <si>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</si>
  <si>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</si>
  <si>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</si>
  <si>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</si>
  <si>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</si>
  <si>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</si>
  <si>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</si>
  <si>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</si>
  <si>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</si>
  <si>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</si>
  <si>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</si>
  <si>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</si>
  <si>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</si>
  <si>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</si>
  <si>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</si>
  <si>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</si>
  <si>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</si>
  <si>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</si>
  <si>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</si>
  <si>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</si>
  <si>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</si>
  <si>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</si>
  <si>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</si>
  <si>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</si>
  <si>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</si>
  <si>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</si>
  <si>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</si>
  <si>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</si>
  <si>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</si>
  <si>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</si>
  <si>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</si>
  <si>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</si>
  <si>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</si>
  <si>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</si>
  <si>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</si>
  <si>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</si>
  <si>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</si>
  <si>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</si>
  <si>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</si>
  <si>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</si>
  <si>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</si>
  <si>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</si>
  <si>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</si>
  <si>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</si>
  <si>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</si>
  <si>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</si>
  <si>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</si>
  <si>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</si>
  <si>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</si>
  <si>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</si>
  <si>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</si>
  <si>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</si>
  <si>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</si>
  <si>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</si>
  <si>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</si>
  <si>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</si>
  <si>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</si>
  <si>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</si>
  <si>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</si>
  <si>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</si>
  <si>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</si>
  <si>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</si>
  <si>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</si>
  <si>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</si>
  <si>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</si>
  <si>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</si>
  <si>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</si>
  <si>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</si>
  <si>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</si>
  <si>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</si>
  <si>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</si>
  <si>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</si>
  <si>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</si>
  <si>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</si>
  <si>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</si>
  <si>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</si>
  <si>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</si>
  <si>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</si>
  <si>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</si>
  <si>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</si>
  <si>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</si>
  <si>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</si>
  <si>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</si>
  <si>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</si>
  <si>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</si>
  <si>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</si>
  <si>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</si>
  <si>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</si>
  <si>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</si>
  <si>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</si>
  <si>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</si>
  <si>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</si>
  <si>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</si>
  <si>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</si>
  <si>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</si>
  <si>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</si>
  <si>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</si>
  <si>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</si>
  <si>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</si>
  <si>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</si>
  <si>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</si>
  <si>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</si>
  <si>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</si>
  <si>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</si>
  <si>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</si>
  <si>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</si>
  <si>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</si>
  <si>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</si>
  <si>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</si>
  <si>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</si>
  <si>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</si>
  <si>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</si>
  <si>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</si>
  <si>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</si>
  <si>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</si>
  <si>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</si>
  <si>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</si>
  <si>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</si>
  <si>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</si>
  <si>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</si>
  <si>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</si>
  <si>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</si>
  <si>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</si>
  <si>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</si>
  <si>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</si>
  <si>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</si>
  <si>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</si>
  <si>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</si>
  <si>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</si>
  <si>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</si>
  <si>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</si>
  <si>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</si>
  <si>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</si>
  <si>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</si>
  <si>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</si>
  <si>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</si>
  <si>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</si>
  <si>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</si>
  <si>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</si>
  <si>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</si>
  <si>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</si>
  <si>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</si>
  <si>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</si>
  <si>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</si>
  <si>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</si>
  <si>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</si>
  <si>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</si>
  <si>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</si>
  <si>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</si>
  <si>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</si>
  <si>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</si>
  <si>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</si>
  <si>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</si>
  <si>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</si>
  <si>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</si>
  <si>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</si>
  <si>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</si>
  <si>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</si>
  <si>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</si>
  <si>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</si>
  <si>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</si>
  <si>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</si>
  <si>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</si>
  <si>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</si>
  <si>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</si>
  <si>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</si>
  <si>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</si>
  <si>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</si>
  <si>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</si>
  <si>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</si>
  <si>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</si>
  <si>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</si>
  <si>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</si>
  <si>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</si>
  <si>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</si>
  <si>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</si>
  <si>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</si>
  <si>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</si>
  <si>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</si>
  <si>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</si>
  <si>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</si>
  <si>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</si>
  <si>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</si>
  <si>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</si>
  <si>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</si>
  <si>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</si>
  <si>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</si>
  <si>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</si>
  <si>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</si>
  <si>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</si>
  <si>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</si>
  <si>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</si>
  <si>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</si>
  <si>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</si>
  <si>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</si>
  <si>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</si>
  <si>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</si>
  <si>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</si>
  <si>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</si>
  <si>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</si>
  <si>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</si>
  <si>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</si>
  <si>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</si>
  <si>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</si>
  <si>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</si>
  <si>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</si>
  <si>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</si>
  <si>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</si>
  <si>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</si>
  <si>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</si>
  <si>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</si>
  <si>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</si>
  <si>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</si>
  <si>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</si>
  <si>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</si>
  <si>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</si>
  <si>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</si>
  <si>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</si>
  <si>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</si>
  <si>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</si>
  <si>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</si>
  <si>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</si>
  <si>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</si>
  <si>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</si>
  <si>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</si>
  <si>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</si>
  <si>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</si>
  <si>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</si>
  <si>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</si>
  <si>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</si>
  <si>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</si>
  <si>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</si>
  <si>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</si>
  <si>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</si>
  <si>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</si>
  <si>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</si>
  <si>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</si>
  <si>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</si>
  <si>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</si>
  <si>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</si>
  <si>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</si>
  <si>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</si>
  <si>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</si>
  <si>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</si>
  <si>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</si>
  <si>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</si>
  <si>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</si>
  <si>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</si>
  <si>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</si>
  <si>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</si>
  <si>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</si>
  <si>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</si>
  <si>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</si>
  <si>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</si>
  <si>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</si>
  <si>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</si>
  <si>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</si>
  <si>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</si>
  <si>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</si>
  <si>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</si>
  <si>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</si>
  <si>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</si>
  <si>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</si>
  <si>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</si>
  <si>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</si>
  <si>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</si>
  <si>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</si>
  <si>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</si>
  <si>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</si>
  <si>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</si>
  <si>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</si>
  <si>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</si>
  <si>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</si>
  <si>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</si>
  <si>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</si>
  <si>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</si>
  <si>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</si>
  <si>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</si>
  <si>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</si>
  <si>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</si>
  <si>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</si>
  <si>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</si>
  <si>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</si>
  <si>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</si>
  <si>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</si>
  <si>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</si>
  <si>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</si>
  <si>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</si>
  <si>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</si>
  <si>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</si>
  <si>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</si>
  <si>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</si>
  <si>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</si>
  <si>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</si>
  <si>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</si>
  <si>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</si>
  <si>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</si>
  <si>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</si>
  <si>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</si>
  <si>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</si>
  <si>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</si>
  <si>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</si>
  <si>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</si>
  <si>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</si>
  <si>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</si>
  <si>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</si>
  <si>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</si>
  <si>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</si>
  <si>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 xml:space="preserve">MOYA SALOMON Ricardo por Hurto con Escalamiento en perj. De </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</si>
  <si>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</si>
  <si>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</si>
  <si>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</si>
  <si>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</si>
  <si>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</si>
  <si>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</si>
  <si>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</si>
  <si>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</si>
  <si>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</si>
  <si>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</si>
  <si>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</si>
  <si>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</si>
  <si>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</si>
  <si>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</si>
  <si>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</si>
  <si>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</si>
  <si>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</si>
  <si>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</si>
  <si>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</si>
  <si>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</si>
  <si>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</si>
  <si>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</si>
  <si>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</si>
  <si>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</si>
  <si>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</si>
  <si>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</si>
  <si>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</si>
  <si>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</si>
  <si>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</si>
  <si>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</si>
  <si>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</si>
  <si>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</si>
  <si>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</si>
  <si>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</si>
  <si>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</si>
  <si>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</si>
  <si>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</si>
  <si>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</si>
  <si>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</si>
  <si>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</si>
  <si>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</si>
  <si>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</si>
  <si>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</si>
  <si>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</si>
  <si>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</si>
  <si>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</si>
  <si>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</si>
  <si>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</si>
  <si>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</si>
  <si>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</si>
  <si>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</si>
  <si>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</si>
  <si>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</si>
  <si>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</si>
  <si>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</si>
  <si>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</si>
  <si>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</si>
  <si>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</si>
  <si>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</si>
  <si>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</si>
  <si>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</si>
  <si>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</si>
  <si>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</si>
  <si>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</si>
  <si>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</si>
  <si>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</si>
  <si>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</si>
  <si>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</si>
  <si>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</si>
  <si>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</si>
  <si>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</si>
  <si>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</si>
  <si>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</si>
  <si>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</si>
  <si>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</si>
  <si>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</si>
  <si>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</si>
  <si>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</si>
  <si>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</si>
  <si>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</si>
  <si>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</si>
  <si>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</si>
  <si>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</si>
  <si>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</si>
  <si>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</si>
  <si>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</si>
  <si>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</si>
  <si>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</si>
  <si>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</si>
  <si>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</si>
  <si>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</si>
  <si>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</si>
  <si>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</si>
  <si>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</si>
  <si>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</si>
  <si>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</si>
  <si>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</si>
  <si>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</si>
  <si>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</si>
  <si>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</si>
  <si>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</si>
  <si>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</si>
  <si>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Licencias</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</si>
  <si>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</si>
  <si>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</si>
  <si>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</si>
  <si>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</si>
  <si>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</si>
  <si>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</si>
  <si>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</si>
  <si>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</si>
  <si>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</si>
  <si>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</si>
  <si>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</si>
  <si>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</si>
  <si>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</si>
  <si>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</si>
  <si>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</si>
  <si>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</si>
  <si>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</si>
  <si>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</si>
  <si>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</si>
  <si>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</si>
  <si>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</si>
  <si>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</si>
  <si>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</si>
  <si>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</si>
  <si>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</si>
  <si>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</si>
  <si>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</si>
  <si>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</si>
  <si>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</si>
  <si>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</si>
  <si>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</si>
  <si>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</si>
  <si>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</si>
  <si>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</si>
  <si>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</si>
  <si>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</si>
  <si>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</si>
  <si>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</si>
  <si>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</si>
  <si>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</si>
  <si>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</si>
  <si>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</si>
  <si>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</si>
  <si>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</si>
  <si>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</si>
  <si>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</si>
  <si>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</si>
  <si>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</si>
  <si>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</si>
  <si>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</si>
  <si>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</si>
  <si>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</si>
  <si>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</si>
  <si>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</si>
  <si>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</si>
  <si>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</si>
  <si>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</si>
  <si>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</si>
  <si>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</si>
  <si>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</si>
  <si>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</si>
  <si>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</si>
  <si>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</si>
  <si>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</si>
  <si>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</si>
  <si>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</si>
  <si>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</si>
  <si>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</si>
  <si>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</si>
  <si>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</si>
  <si>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</si>
  <si>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</si>
  <si>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</si>
  <si>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</si>
  <si>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</si>
  <si>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</si>
  <si>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</si>
  <si>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</si>
  <si>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</si>
  <si>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</si>
  <si>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</si>
  <si>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</si>
  <si>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</si>
  <si>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</si>
  <si>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</si>
  <si>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</si>
  <si>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</si>
  <si>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</si>
  <si>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</si>
  <si>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</si>
  <si>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</si>
  <si>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</si>
  <si>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</si>
  <si>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</si>
  <si>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</si>
  <si>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</si>
  <si>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</si>
  <si>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</si>
  <si>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</si>
  <si>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</si>
  <si>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</si>
  <si>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</si>
  <si>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</si>
  <si>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</si>
  <si>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</si>
  <si>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</si>
  <si>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</si>
  <si>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</si>
  <si>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</si>
  <si>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</si>
  <si>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</si>
  <si>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</si>
  <si>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</si>
  <si>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</si>
  <si>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</si>
  <si>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</si>
  <si>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</si>
  <si>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</si>
  <si>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</si>
  <si>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</si>
  <si>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</si>
  <si>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</si>
  <si>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</si>
  <si>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</si>
  <si>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</si>
  <si>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</si>
  <si>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</si>
  <si>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</si>
  <si>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</si>
  <si>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</si>
  <si>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</si>
  <si>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</si>
  <si>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</si>
  <si>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</si>
  <si>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</si>
  <si>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</si>
  <si>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</si>
  <si>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</si>
  <si>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</si>
  <si>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</si>
  <si>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</si>
  <si>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</si>
  <si>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</si>
  <si>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</si>
  <si>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</si>
  <si>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</si>
  <si>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</si>
  <si>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</si>
  <si>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</si>
  <si>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</si>
  <si>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</si>
  <si>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</si>
  <si>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</si>
  <si>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</si>
  <si>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</si>
  <si>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</si>
  <si>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</si>
  <si>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</si>
  <si>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</si>
  <si>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</si>
  <si>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</si>
  <si>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</si>
  <si>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</si>
  <si>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</si>
  <si>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</si>
  <si>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</si>
  <si>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</si>
  <si>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</si>
  <si>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</si>
  <si>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</si>
  <si>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</si>
  <si>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</si>
  <si>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</si>
  <si>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</si>
  <si>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</si>
  <si>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</si>
  <si>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</si>
  <si>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</si>
  <si>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</si>
  <si>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</si>
  <si>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</si>
  <si>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</si>
  <si>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</si>
  <si>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</si>
  <si>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</si>
  <si>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</si>
  <si>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</si>
  <si>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</si>
  <si>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</si>
  <si>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</si>
  <si>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</si>
  <si>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</si>
  <si>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</si>
  <si>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</si>
  <si>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</si>
  <si>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</si>
  <si>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</si>
  <si>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</si>
  <si>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</si>
  <si>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</si>
  <si>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</si>
  <si>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</si>
  <si>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</si>
  <si>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</si>
  <si>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</si>
  <si>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</si>
  <si>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</si>
  <si>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</si>
  <si>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</si>
  <si>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</si>
  <si>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</si>
  <si>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</si>
  <si>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</si>
  <si>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</si>
  <si>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</si>
  <si>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</si>
  <si>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</si>
  <si>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</si>
  <si>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RAMIREZ, RODRIGO LUCAS POR LSO DELITOS DE LESIONES LEVES AGRAVADAS POR MEDIAR RELACION DE PAREJA PREVIA Y DE GENERO, AMENAZAS, DESOBEDIENCIA JUDICIAL, RESISTENCIA A LA AUTORIDAD Y AMENAZAS EN CONCURSO REAL</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</si>
  <si>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</si>
  <si>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</si>
  <si>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</si>
  <si>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</si>
  <si>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</si>
  <si>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</si>
  <si>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</si>
  <si>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</si>
  <si>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</si>
  <si>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</si>
  <si>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</si>
  <si>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</si>
  <si>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</si>
  <si>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</si>
  <si>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REVISION DE PRISION PREVENTIVA INSTADA POR DR. CHAVEZ TOLEDO EN REPRESENTACION DE JIMENEZ</t>
  </si>
  <si>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</si>
  <si>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</si>
  <si>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</si>
  <si>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</si>
  <si>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</si>
  <si>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</si>
  <si>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</si>
  <si>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</si>
  <si>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</si>
  <si>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</si>
  <si>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</si>
  <si>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</si>
  <si>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</si>
  <si>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</si>
  <si>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</si>
  <si>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</si>
  <si>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</si>
  <si>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</si>
  <si>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</si>
  <si>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</si>
  <si>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</si>
  <si>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</si>
  <si>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</si>
  <si>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</si>
  <si>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</si>
  <si>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</si>
  <si>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</si>
  <si>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</si>
  <si>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</si>
  <si>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</si>
  <si>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</si>
  <si>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</si>
  <si>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</si>
  <si>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</si>
  <si>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</si>
  <si>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</si>
  <si>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</si>
  <si>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</si>
  <si>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</si>
  <si>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</si>
  <si>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</si>
  <si>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</si>
  <si>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</si>
  <si>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</si>
  <si>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</si>
  <si>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</si>
  <si>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</si>
  <si>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</si>
  <si>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</si>
  <si>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</si>
  <si>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</si>
  <si>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</si>
  <si>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187130/23</t>
  </si>
  <si>
    <t xml:space="preserve">NATALIA MAYRA DALCIRA SUARES POR EL DELITO DE ROBO CALIFICADO POR EL USO DE ARMA EN PERJUICIO DE </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</si>
  <si>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</si>
  <si>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</si>
  <si>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</si>
  <si>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</si>
  <si>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</si>
  <si>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</si>
  <si>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</si>
  <si>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</si>
  <si>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</si>
  <si>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</si>
  <si>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</si>
  <si>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</si>
  <si>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</si>
  <si>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</si>
  <si>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</si>
  <si>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</si>
  <si>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</si>
  <si>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Dra. Albornoz, Laura de los Ángeles como representante legal de la víctima (no es querellante); y Asesorìa de Menores e Incapaces Nº 6</t>
  </si>
  <si>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</si>
  <si>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</si>
  <si>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</si>
  <si>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</si>
  <si>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</si>
  <si>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</si>
  <si>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</si>
  <si>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</si>
  <si>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</si>
  <si>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</si>
  <si>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</si>
  <si>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</si>
  <si>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</si>
  <si>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</si>
  <si>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</si>
  <si>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</si>
  <si>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</si>
  <si>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</si>
  <si>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</si>
  <si>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</si>
  <si>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</si>
  <si>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</si>
  <si>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</si>
  <si>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</si>
  <si>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</si>
  <si>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</si>
  <si>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</si>
  <si>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</si>
  <si>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</si>
  <si>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</si>
  <si>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</si>
  <si>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</si>
  <si>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</si>
  <si>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</si>
  <si>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</si>
  <si>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</si>
  <si>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</si>
  <si>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</si>
  <si>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</si>
  <si>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</si>
  <si>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</si>
  <si>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</si>
  <si>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</si>
  <si>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</si>
  <si>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</si>
  <si>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</si>
  <si>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</si>
  <si>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</si>
  <si>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</si>
  <si>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</si>
  <si>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</si>
  <si>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</si>
  <si>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</si>
  <si>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</si>
  <si>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</si>
  <si>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</si>
  <si>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</si>
  <si>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Sumarisimo,/ tiene otra causa 187130/23 con la misma investigada</t>
  </si>
  <si>
    <t>Dr. Sandoval, Rodolfo MP Nº 5170</t>
  </si>
  <si>
    <t>186990/23</t>
  </si>
  <si>
    <t>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</si>
  <si>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</si>
  <si>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</si>
  <si>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</si>
  <si>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</si>
  <si>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</si>
  <si>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</si>
  <si>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</si>
  <si>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</si>
  <si>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</si>
  <si>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</si>
  <si>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</si>
  <si>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</si>
  <si>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</si>
  <si>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</si>
  <si>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</si>
  <si>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</si>
  <si>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</si>
  <si>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</si>
  <si>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</si>
  <si>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</si>
  <si>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</si>
  <si>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</si>
  <si>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</si>
  <si>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</si>
  <si>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</si>
  <si>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</si>
  <si>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</si>
  <si>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</si>
  <si>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</si>
  <si>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</si>
  <si>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</si>
  <si>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</si>
  <si>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</si>
  <si>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</si>
  <si>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</si>
  <si>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</si>
  <si>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</si>
  <si>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</si>
  <si>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</si>
  <si>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</si>
  <si>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</si>
  <si>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</si>
  <si>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</si>
  <si>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</si>
  <si>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</si>
  <si>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</si>
  <si>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</si>
  <si>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</si>
  <si>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</si>
  <si>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</si>
  <si>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</si>
  <si>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</si>
  <si>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</si>
  <si>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</si>
  <si>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Posible intervencion del Dr. AGUSTIN LOPEZ por el inv. Villanueva</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</si>
  <si>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</si>
  <si>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</si>
  <si>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</si>
  <si>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Solicita la revision por Gallardo</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</si>
  <si>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</si>
  <si>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</si>
  <si>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</si>
  <si>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</si>
  <si>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</si>
  <si>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</si>
  <si>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</si>
  <si>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</si>
  <si>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Dr. Fernando Diaz Zabalaga MP 4432 (Parron Baldoni)</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</si>
  <si>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</si>
  <si>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</si>
  <si>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</si>
  <si>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</si>
  <si>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</si>
  <si>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</si>
  <si>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</si>
  <si>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</si>
  <si>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</si>
  <si>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0811/2023</t>
  </si>
  <si>
    <t>187287/23</t>
  </si>
  <si>
    <t xml:space="preserve">NAVARRO, JAVIER ARTURO POR EL DELITO DE ROBO CALIFICADO POR EL USO DE ARMA EN PERJUICIO DE </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</si>
  <si>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</si>
  <si>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</si>
  <si>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</si>
  <si>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</si>
  <si>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</si>
  <si>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</si>
  <si>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</si>
  <si>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</si>
  <si>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</si>
  <si>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</si>
  <si>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</si>
  <si>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</si>
  <si>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</si>
  <si>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</si>
  <si>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</si>
  <si>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</si>
  <si>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</si>
  <si>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</si>
  <si>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</si>
  <si>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</si>
  <si>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</si>
  <si>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Dr. Arnedo por el investigado Sanchez, Ricardo</t>
  </si>
  <si>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</si>
  <si>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</si>
  <si>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</si>
  <si>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</si>
  <si>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</si>
  <si>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</si>
  <si>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</si>
  <si>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187700/23</t>
  </si>
  <si>
    <t>GUZMAN JAVIER ERNESTO POR EL DELITO DE HURTO CALIFICADO POR ESCALAMIENTO EN GRADO DE TENTATIVA EN PERJUICIO DE</t>
  </si>
  <si>
    <t>187300/23</t>
  </si>
  <si>
    <r>
      <rPr>
        <b/>
        <sz val="10"/>
        <rFont val="Arial"/>
        <family val="2"/>
      </rPr>
      <t>ASESORA INCAPACES Nº 6 - Dra. Ibarguren</t>
    </r>
    <r>
      <rPr>
        <sz val="10"/>
        <rFont val="Arial"/>
        <family val="2"/>
      </rPr>
      <t xml:space="preserve"> SE REMite el presente exp en el día de la fecha 06/11/2023 a la Asesoría de Menores e Incapaces en turno para la intervencion por el menor</t>
    </r>
  </si>
  <si>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</si>
  <si>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</si>
  <si>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</si>
  <si>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</si>
  <si>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</si>
  <si>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</si>
  <si>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</si>
  <si>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</si>
  <si>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</si>
  <si>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</si>
  <si>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</si>
  <si>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</si>
  <si>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</si>
  <si>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</si>
  <si>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</si>
  <si>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</si>
  <si>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</si>
  <si>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el 09/11 se suspende audiencia del 10/11 por falta de horario del Dr. Maggio SE reprograma</t>
  </si>
  <si>
    <t>Gar 2</t>
  </si>
  <si>
    <t>GONZALEZ, JOSE LUIS MARIA POR EL DELITO DE HURTO SIMPLE EN PERJUICIO DE PALAVECINO NORMA NATALIA</t>
  </si>
  <si>
    <t>C/Leg de Inv. Original por cuerda-- llegó el día 10/11/2023--</t>
  </si>
  <si>
    <t>FLORES, VANESA DE LOS ANGELES; DIPRIMO, DANIELA DEL CARMEN; CORIA, ADRIANA ELIZABETH; DIPRIMO SEBASTIAN JORGE; FLORES, JOSE IGNACIO; QUISPE, SAMUEL ANTONIO; QUISPE MARQUEZ, IGNACIO NICOLAS POR COMERCIALIZACION DE ESTUPEFACIENTES AGRAVADA -FP UFINAR</t>
  </si>
  <si>
    <t>Herrera, Juan Diego MP3615, Silveti, Rodrigo Nicolás MP6838, Sola Garrido, Agustín MP 3136, Caliva Agüero Javier MP 5203, Casabella Davalos Juan MP 1516</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</si>
  <si>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</si>
  <si>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</si>
  <si>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</si>
  <si>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</si>
  <si>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</si>
  <si>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</si>
  <si>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</si>
  <si>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</si>
  <si>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</si>
  <si>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</si>
  <si>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</si>
  <si>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</si>
  <si>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</si>
  <si>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</si>
  <si>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</si>
  <si>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</si>
  <si>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</si>
  <si>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</si>
  <si>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</si>
  <si>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</si>
  <si>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</si>
  <si>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</si>
  <si>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</si>
  <si>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</si>
  <si>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</si>
  <si>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</si>
  <si>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</si>
  <si>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</si>
  <si>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</si>
  <si>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</si>
  <si>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</si>
  <si>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 xml:space="preserve">QUEVEDO, WALTER NICOLAS POR EL DELITO DE ROBO SIMPLE EN PERJUICIO DE </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</si>
  <si>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</si>
  <si>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</si>
  <si>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</si>
  <si>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</si>
  <si>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</si>
  <si>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</si>
  <si>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</si>
  <si>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</si>
  <si>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</si>
  <si>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</si>
  <si>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</si>
  <si>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</si>
  <si>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</si>
  <si>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</si>
  <si>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</si>
  <si>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</si>
  <si>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</si>
  <si>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</si>
  <si>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</si>
  <si>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</si>
  <si>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en fecha 13/11 se remite a mesa pupilar</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</si>
  <si>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</si>
  <si>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</si>
  <si>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</si>
  <si>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</si>
  <si>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</si>
  <si>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</si>
  <si>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</si>
  <si>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</si>
  <si>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</si>
  <si>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</si>
  <si>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</si>
  <si>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</si>
  <si>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</si>
  <si>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</si>
  <si>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</si>
  <si>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</si>
  <si>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</si>
  <si>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</si>
  <si>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</si>
  <si>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</si>
  <si>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</si>
  <si>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</si>
  <si>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</si>
  <si>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</si>
  <si>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</si>
  <si>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</si>
  <si>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</si>
  <si>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</si>
  <si>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</si>
  <si>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DELGADO, JOSÉ MARIA POR EL DELITO DE DESOBEDIENCIA JUDICIAL EN PERJUICIO DE GERMAN CECILIO DELGADO</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</si>
  <si>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</si>
  <si>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</si>
  <si>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</si>
  <si>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</si>
  <si>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</si>
  <si>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</si>
  <si>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</si>
  <si>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</si>
  <si>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</si>
  <si>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Se devuelve al juzgado de origen para su acumulacion a la  causa 186356/23</t>
  </si>
  <si>
    <t>GUZMAN, DANIEL RAMON POR PRIVACION  LEGITIMA DE LA  LIBERTAD, ROBO  SIMPLE Y LESIONES DOBLEMENTE AGRAVADAS POR LA RELACION DE PAREJA Y POR EL GENERO, TODO EN CONCURSO REAL; EN PERJUICIO DE TERRAZAS GRA</t>
  </si>
  <si>
    <t>Dr. Paz, Hernan Facundo MP Nº 6324</t>
  </si>
  <si>
    <t>C/Abreviado incial</t>
  </si>
  <si>
    <t xml:space="preserve">El investigado fue delcarado inimputable </t>
  </si>
  <si>
    <t>vista a la Asesoria en turno en fecha 14/11/2023</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</si>
  <si>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</si>
  <si>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</si>
  <si>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</si>
  <si>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</si>
  <si>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</si>
  <si>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</si>
  <si>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</si>
  <si>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</si>
  <si>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BARRETO, JORGE DAVID POR EL DELITO DE HURTO SIMPLE Y HURTO SIMPLE EN GRADO DE TENTATIVA Y EL SR. OSCAR LEONEL GUZMAN POR EL DELITO DE HURTO SIMPLE EN GRADO DE TENTATIVA</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</si>
  <si>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</si>
  <si>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</si>
  <si>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</si>
  <si>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</si>
  <si>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</si>
  <si>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</si>
  <si>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</si>
  <si>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</si>
  <si>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</si>
  <si>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</si>
  <si>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</si>
  <si>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183652/23</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</si>
  <si>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</si>
  <si>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</si>
  <si>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</si>
  <si>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</si>
  <si>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</si>
  <si>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</si>
  <si>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</si>
  <si>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</si>
  <si>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</si>
  <si>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</si>
  <si>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</si>
  <si>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</si>
  <si>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</si>
  <si>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</si>
  <si>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</si>
  <si>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</si>
  <si>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</si>
  <si>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</si>
  <si>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</si>
  <si>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</si>
  <si>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</si>
  <si>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</si>
  <si>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</si>
  <si>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</si>
  <si>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</si>
  <si>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</si>
  <si>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</si>
  <si>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</si>
  <si>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</si>
  <si>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</si>
  <si>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</si>
  <si>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</si>
  <si>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</si>
  <si>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</si>
  <si>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</si>
  <si>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</si>
  <si>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</si>
  <si>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</si>
  <si>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</si>
  <si>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</si>
  <si>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 xml:space="preserve">GARCIA, RAMON AGUSTIN POR EL DELITO DE LESIONES LEVES AGRAVADAS POR LA RELACION DE PAREJA Y EL GENERO, AMENAZAS, DAÑOS Y DESOBEDIENCIA JUDICIAL EN PERJUICIO DE  CORREA VIDAURRE, MARÍA DE LOS ANGELES </t>
  </si>
  <si>
    <t>Se remite a la mesa pupilar en fecha 16/11/2023</t>
  </si>
  <si>
    <t>En vista a la Asesoria de Menores e Incapaces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</si>
  <si>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</si>
  <si>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</si>
  <si>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</si>
  <si>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</si>
  <si>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</si>
  <si>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</si>
  <si>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</si>
  <si>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</si>
  <si>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</si>
  <si>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</si>
  <si>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</si>
  <si>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</si>
  <si>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</si>
  <si>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</si>
  <si>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</si>
  <si>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</si>
  <si>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</si>
  <si>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</si>
  <si>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</si>
  <si>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</si>
  <si>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</si>
  <si>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</si>
  <si>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</si>
  <si>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 xml:space="preserve">PATRANA, JOAQUIN ALEJANDRO POR EL DELITO DE </t>
  </si>
  <si>
    <t>187370/23</t>
  </si>
  <si>
    <t>GARCIA, ANHAN SARAI POR EL DELITO DE DESOBEDIENCIA JUDICIAL</t>
  </si>
  <si>
    <t>187173/23</t>
  </si>
  <si>
    <t>GUTIRREZ, GUILLERMO MARTIN POR EL DELITO DE GROOMIN EN PERJUICIO DE UN MENOR DE EDAD</t>
  </si>
  <si>
    <r>
      <rPr>
        <b/>
        <sz val="10"/>
        <color theme="1"/>
        <rFont val="Arial"/>
        <family val="2"/>
      </rPr>
      <t>En la presente causa se encuentra en</t>
    </r>
    <r>
      <rPr>
        <b/>
        <sz val="10"/>
        <color rgb="FFFF0000"/>
        <rFont val="Arial"/>
        <family val="2"/>
      </rPr>
      <t xml:space="preserve"> LIBERTAD. -PERO </t>
    </r>
    <r>
      <rPr>
        <b/>
        <sz val="10"/>
        <color theme="1"/>
        <rFont val="Arial"/>
        <family val="2"/>
      </rPr>
      <t xml:space="preserve">se encuentra detendido en el expediente GAR 184550/23 del Juzgadp de Garantías Nº 1. </t>
    </r>
  </si>
</sst>
</file>

<file path=xl/styles.xml><?xml version="1.0" encoding="utf-8"?>
<styleSheet xmlns="http://schemas.openxmlformats.org/spreadsheetml/2006/main">
  <numFmts count="3">
    <numFmt numFmtId="164" formatCode="dd/mm/yyyy;@"/>
    <numFmt numFmtId="165" formatCode="0.0%"/>
    <numFmt numFmtId="166" formatCode="hh:mm"/>
  </numFmts>
  <fonts count="55">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6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0" fontId="4" fillId="10" borderId="2" xfId="0" applyFont="1" applyFill="1" applyBorder="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0" fontId="2" fillId="10" borderId="1" xfId="0"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43" fillId="0" borderId="2" xfId="0" applyFont="1" applyFill="1" applyBorder="1" applyAlignment="1">
      <alignment horizontal="center" vertical="center" wrapText="1"/>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13" borderId="2" xfId="0" applyNumberFormat="1" applyFont="1" applyFill="1" applyBorder="1" applyAlignment="1">
      <alignment horizontal="center" vertical="center" wrapText="1"/>
    </xf>
    <xf numFmtId="49" fontId="0" fillId="13" borderId="2" xfId="0" applyNumberForma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49" fontId="2" fillId="13" borderId="2" xfId="0" applyNumberFormat="1" applyFont="1" applyFill="1" applyBorder="1" applyAlignment="1">
      <alignment horizontal="center" vertical="center"/>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12" borderId="2"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2" fillId="10" borderId="0" xfId="0" applyFont="1" applyFill="1" applyAlignment="1">
      <alignment horizontal="center"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2" fillId="12" borderId="1" xfId="0" applyFont="1" applyFill="1" applyBorder="1" applyAlignment="1">
      <alignment horizontal="center" vertical="center" wrapText="1"/>
    </xf>
    <xf numFmtId="164" fontId="2" fillId="12" borderId="1" xfId="0" applyNumberFormat="1" applyFont="1" applyFill="1" applyBorder="1" applyAlignment="1">
      <alignment horizontal="center" vertical="center" wrapText="1"/>
    </xf>
    <xf numFmtId="0" fontId="2" fillId="12" borderId="1" xfId="0" applyFont="1" applyFill="1" applyBorder="1" applyAlignment="1">
      <alignment horizontal="left" vertical="center" wrapText="1"/>
    </xf>
    <xf numFmtId="0" fontId="2" fillId="13" borderId="1" xfId="0" applyFont="1" applyFill="1" applyBorder="1" applyAlignment="1">
      <alignment horizontal="center" vertical="center" wrapText="1"/>
    </xf>
    <xf numFmtId="0" fontId="2" fillId="12" borderId="3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2" fillId="0" borderId="1" xfId="0" applyNumberFormat="1" applyFont="1" applyFill="1" applyBorder="1" applyAlignment="1">
      <alignment horizontal="left" vertical="center"/>
    </xf>
    <xf numFmtId="49" fontId="2" fillId="0" borderId="0" xfId="0" applyNumberFormat="1" applyFont="1" applyFill="1" applyAlignment="1">
      <alignment horizontal="left" vertical="center"/>
    </xf>
    <xf numFmtId="49" fontId="0" fillId="0" borderId="2" xfId="0" applyNumberFormat="1" applyFill="1" applyBorder="1" applyAlignment="1">
      <alignment horizontal="center" vertical="center" wrapText="1"/>
    </xf>
    <xf numFmtId="0" fontId="9" fillId="12" borderId="1" xfId="0" applyFont="1" applyFill="1" applyBorder="1" applyAlignment="1">
      <alignment horizontal="center" vertical="center" wrapText="1"/>
    </xf>
    <xf numFmtId="0" fontId="10" fillId="12" borderId="1" xfId="0" applyFont="1" applyFill="1" applyBorder="1" applyAlignment="1">
      <alignment horizontal="center" vertical="center" wrapText="1"/>
    </xf>
    <xf numFmtId="0" fontId="0" fillId="12" borderId="1" xfId="0" applyFill="1" applyBorder="1" applyAlignment="1">
      <alignment horizontal="center" vertical="center" wrapText="1"/>
    </xf>
    <xf numFmtId="0" fontId="2" fillId="0" borderId="1" xfId="1" applyBorder="1"/>
    <xf numFmtId="49" fontId="2" fillId="0" borderId="1" xfId="0" applyNumberFormat="1" applyFont="1" applyBorder="1"/>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49" fontId="2" fillId="12" borderId="1" xfId="0" applyNumberFormat="1" applyFont="1" applyFill="1" applyBorder="1" applyAlignment="1">
      <alignment horizontal="left" vertical="center" wrapText="1"/>
    </xf>
    <xf numFmtId="0" fontId="4" fillId="12" borderId="2" xfId="0" applyFont="1" applyFill="1"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0" fontId="9" fillId="10" borderId="1" xfId="0" applyFont="1" applyFill="1" applyBorder="1" applyAlignment="1">
      <alignment horizontal="center" vertical="center" wrapText="1"/>
    </xf>
    <xf numFmtId="166" fontId="0" fillId="10"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20" fontId="0" fillId="10" borderId="1" xfId="0" applyNumberFormat="1" applyFill="1" applyBorder="1" applyAlignment="1">
      <alignment horizontal="center" vertical="center" wrapText="1"/>
    </xf>
    <xf numFmtId="0" fontId="2" fillId="10" borderId="1" xfId="0" applyFont="1" applyFill="1" applyBorder="1" applyAlignment="1">
      <alignment horizontal="left" vertical="center" wrapText="1"/>
    </xf>
    <xf numFmtId="0" fontId="10" fillId="13" borderId="2" xfId="0" applyFont="1" applyFill="1" applyBorder="1" applyAlignment="1">
      <alignment horizontal="center" vertical="center" wrapText="1"/>
    </xf>
    <xf numFmtId="49" fontId="2" fillId="13" borderId="0" xfId="0" applyNumberFormat="1" applyFont="1" applyFill="1" applyAlignment="1">
      <alignment horizontal="left" vertical="center" wrapText="1"/>
    </xf>
    <xf numFmtId="49" fontId="2" fillId="13" borderId="2" xfId="0" applyNumberFormat="1" applyFont="1" applyFill="1" applyBorder="1" applyAlignment="1">
      <alignment horizontal="left" vertical="center" wrapText="1"/>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a. Volante"/>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7615"/>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Sobreseimiento</c:v>
                </c:pt>
              </c:strCache>
            </c:strRef>
          </c:cat>
          <c:val>
            <c:numRef>
              <c:f>'Informe semana'!$A$6:$A$10</c:f>
              <c:numCache>
                <c:formatCode>General</c:formatCode>
                <c:ptCount val="5"/>
                <c:pt idx="0">
                  <c:v>11</c:v>
                </c:pt>
                <c:pt idx="1">
                  <c:v>22</c:v>
                </c:pt>
                <c:pt idx="2">
                  <c:v>1</c:v>
                </c:pt>
                <c:pt idx="3">
                  <c:v>10</c:v>
                </c:pt>
                <c:pt idx="4">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77979776"/>
        <c:axId val="177981312"/>
      </c:barChart>
      <c:catAx>
        <c:axId val="177979776"/>
        <c:scaling>
          <c:orientation val="minMax"/>
        </c:scaling>
        <c:axPos val="b"/>
        <c:majorTickMark val="none"/>
        <c:tickLblPos val="nextTo"/>
        <c:txPr>
          <a:bodyPr/>
          <a:lstStyle/>
          <a:p>
            <a:pPr>
              <a:defRPr lang="es-ES"/>
            </a:pPr>
            <a:endParaRPr lang="es-ES"/>
          </a:p>
        </c:txPr>
        <c:crossAx val="177981312"/>
        <c:crosses val="autoZero"/>
        <c:auto val="1"/>
        <c:lblAlgn val="ctr"/>
        <c:lblOffset val="100"/>
      </c:catAx>
      <c:valAx>
        <c:axId val="177981312"/>
        <c:scaling>
          <c:orientation val="minMax"/>
        </c:scaling>
        <c:axPos val="l"/>
        <c:majorGridlines/>
        <c:numFmt formatCode="General" sourceLinked="1"/>
        <c:majorTickMark val="none"/>
        <c:tickLblPos val="nextTo"/>
        <c:txPr>
          <a:bodyPr/>
          <a:lstStyle/>
          <a:p>
            <a:pPr>
              <a:defRPr lang="es-ES"/>
            </a:pPr>
            <a:endParaRPr lang="es-ES"/>
          </a:p>
        </c:txPr>
        <c:crossAx val="17797977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78041600"/>
        <c:axId val="178043136"/>
      </c:barChart>
      <c:catAx>
        <c:axId val="178041600"/>
        <c:scaling>
          <c:orientation val="minMax"/>
        </c:scaling>
        <c:axPos val="b"/>
        <c:majorTickMark val="none"/>
        <c:tickLblPos val="nextTo"/>
        <c:txPr>
          <a:bodyPr/>
          <a:lstStyle/>
          <a:p>
            <a:pPr>
              <a:defRPr lang="es-ES"/>
            </a:pPr>
            <a:endParaRPr lang="es-ES"/>
          </a:p>
        </c:txPr>
        <c:crossAx val="178043136"/>
        <c:crosses val="autoZero"/>
        <c:auto val="1"/>
        <c:lblAlgn val="ctr"/>
        <c:lblOffset val="100"/>
      </c:catAx>
      <c:valAx>
        <c:axId val="178043136"/>
        <c:scaling>
          <c:orientation val="minMax"/>
        </c:scaling>
        <c:axPos val="l"/>
        <c:majorGridlines/>
        <c:numFmt formatCode="General" sourceLinked="1"/>
        <c:majorTickMark val="none"/>
        <c:tickLblPos val="nextTo"/>
        <c:txPr>
          <a:bodyPr/>
          <a:lstStyle/>
          <a:p>
            <a:pPr>
              <a:defRPr lang="es-ES"/>
            </a:pPr>
            <a:endParaRPr lang="es-ES"/>
          </a:p>
        </c:txPr>
        <c:crossAx val="17804160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78103808"/>
        <c:axId val="178105344"/>
      </c:barChart>
      <c:catAx>
        <c:axId val="178103808"/>
        <c:scaling>
          <c:orientation val="minMax"/>
        </c:scaling>
        <c:axPos val="b"/>
        <c:majorTickMark val="none"/>
        <c:tickLblPos val="nextTo"/>
        <c:txPr>
          <a:bodyPr/>
          <a:lstStyle/>
          <a:p>
            <a:pPr>
              <a:defRPr lang="es-ES"/>
            </a:pPr>
            <a:endParaRPr lang="es-ES"/>
          </a:p>
        </c:txPr>
        <c:crossAx val="178105344"/>
        <c:crosses val="autoZero"/>
        <c:auto val="1"/>
        <c:lblAlgn val="ctr"/>
        <c:lblOffset val="100"/>
      </c:catAx>
      <c:valAx>
        <c:axId val="17810534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810380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78227072"/>
        <c:axId val="178228608"/>
      </c:barChart>
      <c:catAx>
        <c:axId val="178227072"/>
        <c:scaling>
          <c:orientation val="minMax"/>
        </c:scaling>
        <c:axPos val="b"/>
        <c:numFmt formatCode="General" sourceLinked="0"/>
        <c:majorTickMark val="none"/>
        <c:tickLblPos val="nextTo"/>
        <c:txPr>
          <a:bodyPr/>
          <a:lstStyle/>
          <a:p>
            <a:pPr>
              <a:defRPr lang="es-ES"/>
            </a:pPr>
            <a:endParaRPr lang="es-ES"/>
          </a:p>
        </c:txPr>
        <c:crossAx val="178228608"/>
        <c:crosses val="autoZero"/>
        <c:auto val="1"/>
        <c:lblAlgn val="ctr"/>
        <c:lblOffset val="100"/>
      </c:catAx>
      <c:valAx>
        <c:axId val="17822860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822707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4919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359"/>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278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144"/>
                  <c:y val="0.3511126178195184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144</c:v>
                </c:pt>
                <c:pt idx="1">
                  <c:v>261</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252"/>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356"/>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171"/>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034"/>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672"/>
                  <c:y val="0.14931623446993469"/>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476"/>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144</c:v>
                </c:pt>
                <c:pt idx="3">
                  <c:v>261</c:v>
                </c:pt>
                <c:pt idx="4">
                  <c:v>11</c:v>
                </c:pt>
                <c:pt idx="5">
                  <c:v>100</c:v>
                </c:pt>
                <c:pt idx="6">
                  <c:v>14</c:v>
                </c:pt>
                <c:pt idx="7">
                  <c:v>3</c:v>
                </c:pt>
                <c:pt idx="8">
                  <c:v>311</c:v>
                </c:pt>
                <c:pt idx="9">
                  <c:v>16</c:v>
                </c:pt>
                <c:pt idx="10">
                  <c:v>8</c:v>
                </c:pt>
                <c:pt idx="11">
                  <c:v>20</c:v>
                </c:pt>
                <c:pt idx="12">
                  <c:v>1</c:v>
                </c:pt>
                <c:pt idx="13">
                  <c:v>11</c:v>
                </c:pt>
                <c:pt idx="14">
                  <c:v>5</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263"/>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36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174"/>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046"/>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666"/>
                  <c:y val="0.1493162344699348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48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style val="26"/>
  <c:chart>
    <c:title>
      <c:tx>
        <c:rich>
          <a:bodyPr/>
          <a:lstStyle/>
          <a:p>
            <a:pPr>
              <a:defRPr/>
            </a:pPr>
            <a:r>
              <a:rPr lang="es-ES"/>
              <a:t>Resultados</a:t>
            </a:r>
            <a:r>
              <a:rPr lang="es-ES" baseline="0"/>
              <a:t> Dr. Pastrana</a:t>
            </a:r>
          </a:p>
        </c:rich>
      </c:tx>
    </c:title>
    <c:plotArea>
      <c:layout/>
      <c:pieChart>
        <c:varyColors val="1"/>
        <c:ser>
          <c:idx val="0"/>
          <c:order val="0"/>
          <c:dLbls>
            <c:showPercent val="1"/>
          </c:dLbls>
          <c:val>
            <c:numRef>
              <c:f>'Graficos Estadisticos'!$AQ$6:$AQ$11</c:f>
              <c:numCache>
                <c:formatCode>General</c:formatCode>
                <c:ptCount val="6"/>
                <c:pt idx="0">
                  <c:v>416</c:v>
                </c:pt>
                <c:pt idx="1">
                  <c:v>311</c:v>
                </c:pt>
                <c:pt idx="2">
                  <c:v>111</c:v>
                </c:pt>
                <c:pt idx="3">
                  <c:v>25</c:v>
                </c:pt>
                <c:pt idx="4">
                  <c:v>17</c:v>
                </c:pt>
                <c:pt idx="5">
                  <c:v>20</c:v>
                </c:pt>
              </c:numCache>
            </c:numRef>
          </c:val>
        </c:ser>
        <c:dLbls>
          <c:showPercent val="1"/>
        </c:dLbls>
        <c:firstSliceAng val="0"/>
      </c:pieChart>
    </c:plotArea>
    <c:legend>
      <c:legendPos val="r"/>
      <c:txPr>
        <a:bodyPr/>
        <a:lstStyle/>
        <a:p>
          <a:pPr rtl="0">
            <a:defRPr/>
          </a:pPr>
          <a:endParaRPr lang="es-ES"/>
        </a:p>
      </c:txPr>
    </c:legend>
    <c:plotVisOnly val="1"/>
  </c:chart>
  <c:printSettings>
    <c:headerFooter/>
    <c:pageMargins b="0.75000000000000044" l="0.7000000000000004" r="0.7000000000000004" t="0.75000000000000044" header="0.30000000000000021" footer="0.30000000000000021"/>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122463</xdr:colOff>
      <xdr:row>3</xdr:row>
      <xdr:rowOff>54428</xdr:rowOff>
    </xdr:from>
    <xdr:to>
      <xdr:col>52</xdr:col>
      <xdr:colOff>258535</xdr:colOff>
      <xdr:row>12</xdr:row>
      <xdr:rowOff>312964</xdr:rowOff>
    </xdr:to>
    <xdr:graphicFrame macro="">
      <xdr:nvGraphicFramePr>
        <xdr:cNvPr id="16" name="1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46.509004513886" createdVersion="3" refreshedVersion="3" minRefreshableVersion="3" recordCount="1023">
  <cacheSource type="worksheet">
    <worksheetSource ref="D2:N1024"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46.50900474537" createdVersion="3" refreshedVersion="3" minRefreshableVersion="3" recordCount="1023">
  <cacheSource type="worksheet">
    <worksheetSource ref="D2:N1024"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46.509004861109" createdVersion="3" refreshedVersion="3" minRefreshableVersion="3" recordCount="1023">
  <cacheSource type="worksheet">
    <worksheetSource ref="D2:N1024"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46.509004976855" createdVersion="3" refreshedVersion="3" minRefreshableVersion="3" recordCount="1023">
  <cacheSource type="worksheet">
    <worksheetSource ref="D2:N1024"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46.509004976855" createdVersion="3" refreshedVersion="3" minRefreshableVersion="3" recordCount="1023">
  <cacheSource type="worksheet">
    <worksheetSource ref="D2:N1024"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46.509005092594" createdVersion="3" refreshedVersion="3" minRefreshableVersion="3" recordCount="1023">
  <cacheSource type="worksheet">
    <worksheetSource ref="D2:N1024"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8"/>
    </i>
    <i r="2">
      <x v="5"/>
    </i>
    <i>
      <x v="2"/>
    </i>
    <i r="1">
      <x v="7"/>
    </i>
    <i r="2">
      <x v="3"/>
    </i>
    <i>
      <x v="3"/>
    </i>
    <i r="1">
      <x v="4"/>
    </i>
    <i r="2">
      <x v="3"/>
    </i>
    <i>
      <x v="4"/>
    </i>
    <i r="1">
      <x v="17"/>
    </i>
    <i r="2">
      <x v="5"/>
    </i>
    <i>
      <x v="7"/>
    </i>
    <i r="1">
      <x v="13"/>
    </i>
    <i r="2">
      <x v="5"/>
    </i>
    <i>
      <x v="15"/>
    </i>
    <i r="1">
      <x v="6"/>
    </i>
    <i r="2">
      <x v="3"/>
    </i>
    <i>
      <x v="16"/>
    </i>
    <i r="1">
      <x v="19"/>
    </i>
    <i r="2">
      <x v="3"/>
    </i>
    <i t="grand">
      <x/>
    </i>
  </rowItems>
  <colItems count="1">
    <i/>
  </colItems>
  <pageFields count="1">
    <pageField fld="4" item="181" hier="-1"/>
  </pageFields>
  <formats count="8">
    <format dxfId="56">
      <pivotArea dataOnly="0" labelOnly="1" outline="0" fieldPosition="0">
        <references count="1">
          <reference field="4" count="1">
            <x v="88"/>
          </reference>
        </references>
      </pivotArea>
    </format>
    <format dxfId="55">
      <pivotArea dataOnly="0" labelOnly="1" outline="0" fieldPosition="0">
        <references count="1">
          <reference field="4" count="1">
            <x v="88"/>
          </reference>
        </references>
      </pivotArea>
    </format>
    <format dxfId="54">
      <pivotArea dataOnly="0" labelOnly="1" fieldPosition="0">
        <references count="1">
          <reference field="6" count="3">
            <x v="0"/>
            <x v="2"/>
            <x v="8"/>
          </reference>
        </references>
      </pivotArea>
    </format>
    <format dxfId="53">
      <pivotArea dataOnly="0" outline="0" fieldPosition="0">
        <references count="1">
          <reference field="4" count="1">
            <x v="92"/>
          </reference>
        </references>
      </pivotArea>
    </format>
    <format dxfId="52">
      <pivotArea dataOnly="0" labelOnly="1" outline="0" fieldPosition="0">
        <references count="1">
          <reference field="4" count="1">
            <x v="96"/>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101"/>
          </reference>
        </references>
      </pivotArea>
    </format>
    <format dxfId="4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4"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8"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18"/>
    </i>
    <i r="2">
      <x v="3"/>
    </i>
    <i>
      <x v="3"/>
    </i>
    <i r="1">
      <x v="6"/>
    </i>
    <i r="2">
      <x v="3"/>
    </i>
    <i>
      <x v="4"/>
    </i>
    <i r="1">
      <x v="8"/>
    </i>
    <i r="2">
      <x v="5"/>
    </i>
    <i r="1">
      <x v="17"/>
    </i>
    <i r="2">
      <x v="3"/>
    </i>
    <i>
      <x v="6"/>
    </i>
    <i r="1">
      <x v="13"/>
    </i>
    <i r="2">
      <x v="3"/>
    </i>
    <i>
      <x v="7"/>
    </i>
    <i r="1">
      <x v="5"/>
    </i>
    <i r="2">
      <x v="3"/>
    </i>
    <i>
      <x v="13"/>
    </i>
    <i r="1">
      <x v="2"/>
    </i>
    <i r="2">
      <x v="5"/>
    </i>
    <i t="grand">
      <x/>
    </i>
  </rowItems>
  <colItems count="1">
    <i/>
  </colItems>
  <pageFields count="1">
    <pageField fld="4" item="180" hier="-1"/>
  </pageFields>
  <formats count="8">
    <format dxfId="64">
      <pivotArea dataOnly="0" labelOnly="1" outline="0" fieldPosition="0">
        <references count="1">
          <reference field="4" count="1">
            <x v="88"/>
          </reference>
        </references>
      </pivotArea>
    </format>
    <format dxfId="63">
      <pivotArea dataOnly="0" labelOnly="1" outline="0" fieldPosition="0">
        <references count="1">
          <reference field="4" count="1">
            <x v="88"/>
          </reference>
        </references>
      </pivotArea>
    </format>
    <format dxfId="62">
      <pivotArea dataOnly="0" labelOnly="1" fieldPosition="0">
        <references count="1">
          <reference field="6" count="3">
            <x v="0"/>
            <x v="2"/>
            <x v="8"/>
          </reference>
        </references>
      </pivotArea>
    </format>
    <format dxfId="61">
      <pivotArea dataOnly="0" outline="0" fieldPosition="0">
        <references count="1">
          <reference field="4" count="1">
            <x v="92"/>
          </reference>
        </references>
      </pivotArea>
    </format>
    <format dxfId="60">
      <pivotArea dataOnly="0" labelOnly="1" outline="0" fieldPosition="0">
        <references count="1">
          <reference field="4" count="1">
            <x v="96"/>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101"/>
          </reference>
        </references>
      </pivotArea>
    </format>
    <format dxfId="5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3">
    <i>
      <x/>
    </i>
    <i r="1">
      <x v="19"/>
    </i>
    <i r="2">
      <x v="3"/>
    </i>
    <i>
      <x v="2"/>
    </i>
    <i r="1">
      <x v="4"/>
    </i>
    <i r="2">
      <x v="3"/>
    </i>
    <i>
      <x v="3"/>
    </i>
    <i r="1">
      <x v="6"/>
    </i>
    <i r="2">
      <x v="3"/>
    </i>
    <i r="1">
      <x v="16"/>
    </i>
    <i r="2">
      <x v="5"/>
    </i>
    <i>
      <x v="4"/>
    </i>
    <i r="1">
      <x v="13"/>
    </i>
    <i r="2">
      <x v="3"/>
    </i>
    <i r="1">
      <x v="18"/>
    </i>
    <i r="2">
      <x v="23"/>
    </i>
    <i>
      <x v="6"/>
    </i>
    <i r="1">
      <x v="7"/>
    </i>
    <i r="2">
      <x v="5"/>
    </i>
    <i>
      <x v="10"/>
    </i>
    <i r="1">
      <x v="17"/>
    </i>
    <i r="2">
      <x v="5"/>
    </i>
    <i t="grand">
      <x/>
    </i>
  </rowItems>
  <colItems count="1">
    <i/>
  </colItems>
  <pageFields count="1">
    <pageField fld="4" item="177" hier="-1"/>
  </pageFields>
  <formats count="9">
    <format dxfId="73">
      <pivotArea dataOnly="0" labelOnly="1" outline="0" fieldPosition="0">
        <references count="1">
          <reference field="4" count="1">
            <x v="85"/>
          </reference>
        </references>
      </pivotArea>
    </format>
    <format dxfId="72">
      <pivotArea type="all" dataOnly="0" outline="0" fieldPosition="0"/>
    </format>
    <format dxfId="71">
      <pivotArea dataOnly="0" labelOnly="1" outline="0" fieldPosition="0">
        <references count="1">
          <reference field="4" count="1">
            <x v="85"/>
          </reference>
        </references>
      </pivotArea>
    </format>
    <format dxfId="70">
      <pivotArea field="6" type="button" dataOnly="0" labelOnly="1" outline="0" axis="axisRow" fieldPosition="0"/>
    </format>
    <format dxfId="69">
      <pivotArea dataOnly="0" labelOnly="1" fieldPosition="0">
        <references count="1">
          <reference field="6" count="3">
            <x v="0"/>
            <x v="2"/>
            <x v="8"/>
          </reference>
        </references>
      </pivotArea>
    </format>
    <format dxfId="68">
      <pivotArea dataOnly="0" labelOnly="1" outline="0" fieldPosition="0">
        <references count="1">
          <reference field="4" count="1">
            <x v="90"/>
          </reference>
        </references>
      </pivotArea>
    </format>
    <format dxfId="67">
      <pivotArea dataOnly="0" labelOnly="1" outline="0" fieldPosition="0">
        <references count="1">
          <reference field="4" count="1">
            <x v="99"/>
          </reference>
        </references>
      </pivotArea>
    </format>
    <format dxfId="66">
      <pivotArea dataOnly="0" labelOnly="1" outline="0" fieldPosition="0">
        <references count="1">
          <reference field="4" count="1">
            <x v="99"/>
          </reference>
        </references>
      </pivotArea>
    </format>
    <format dxfId="65">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2"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7"/>
    </i>
    <i r="2">
      <x v="5"/>
    </i>
    <i>
      <x v="2"/>
    </i>
    <i r="1">
      <x v="8"/>
    </i>
    <i r="2">
      <x v="3"/>
    </i>
    <i>
      <x v="4"/>
    </i>
    <i r="1">
      <x v="19"/>
    </i>
    <i r="2">
      <x v="5"/>
    </i>
    <i>
      <x v="6"/>
    </i>
    <i r="1">
      <x v="8"/>
    </i>
    <i r="2">
      <x v="3"/>
    </i>
    <i>
      <x v="13"/>
    </i>
    <i r="1">
      <x v="2"/>
    </i>
    <i r="2">
      <x v="20"/>
    </i>
    <i>
      <x v="15"/>
    </i>
    <i r="1">
      <x v="17"/>
    </i>
    <i r="2">
      <x v="5"/>
    </i>
    <i>
      <x v="16"/>
    </i>
    <i r="1">
      <x v="13"/>
    </i>
    <i r="2">
      <x v="3"/>
    </i>
    <i t="grand">
      <x/>
    </i>
  </rowItems>
  <colItems count="1">
    <i/>
  </colItems>
  <pageFields count="1">
    <pageField fld="4" item="178" hier="-1"/>
  </pageFields>
  <formats count="8">
    <format dxfId="81">
      <pivotArea dataOnly="0" labelOnly="1" outline="0" fieldPosition="0">
        <references count="1">
          <reference field="4" count="1">
            <x v="86"/>
          </reference>
        </references>
      </pivotArea>
    </format>
    <format dxfId="80">
      <pivotArea dataOnly="0" labelOnly="1" outline="0" fieldPosition="0">
        <references count="1">
          <reference field="4" count="1">
            <x v="86"/>
          </reference>
        </references>
      </pivotArea>
    </format>
    <format dxfId="79">
      <pivotArea dataOnly="0" labelOnly="1" fieldPosition="0">
        <references count="1">
          <reference field="6" count="3">
            <x v="0"/>
            <x v="2"/>
            <x v="8"/>
          </reference>
        </references>
      </pivotArea>
    </format>
    <format dxfId="78">
      <pivotArea dataOnly="0" labelOnly="1" outline="0" fieldPosition="0">
        <references count="1">
          <reference field="4" count="1">
            <x v="91"/>
          </reference>
        </references>
      </pivotArea>
    </format>
    <format dxfId="77">
      <pivotArea dataOnly="0" labelOnly="1" outline="0" fieldPosition="0">
        <references count="1">
          <reference field="4" count="1">
            <x v="95"/>
          </reference>
        </references>
      </pivotArea>
    </format>
    <format dxfId="76">
      <pivotArea dataOnly="0" labelOnly="1" outline="0" fieldPosition="0">
        <references count="1">
          <reference field="4" count="1">
            <x v="95"/>
          </reference>
        </references>
      </pivotArea>
    </format>
    <format dxfId="75">
      <pivotArea dataOnly="0" labelOnly="1" outline="0" fieldPosition="0">
        <references count="1">
          <reference field="4" count="1">
            <x v="100"/>
          </reference>
        </references>
      </pivotArea>
    </format>
    <format dxfId="74">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3"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3">
    <i>
      <x v="2"/>
    </i>
    <i r="1">
      <x v="17"/>
    </i>
    <i r="2">
      <x v="5"/>
    </i>
    <i>
      <x v="3"/>
    </i>
    <i r="1">
      <x v="2"/>
    </i>
    <i r="2">
      <x v="5"/>
    </i>
    <i r="1">
      <x v="4"/>
    </i>
    <i r="2">
      <x v="3"/>
    </i>
    <i>
      <x v="6"/>
    </i>
    <i r="1">
      <x v="18"/>
    </i>
    <i r="2">
      <x v="7"/>
    </i>
    <i>
      <x v="13"/>
    </i>
    <i r="1">
      <x v="7"/>
    </i>
    <i r="2">
      <x v="20"/>
    </i>
    <i>
      <x v="15"/>
    </i>
    <i r="1">
      <x v="16"/>
    </i>
    <i r="2">
      <x v="22"/>
    </i>
    <i r="1">
      <x v="19"/>
    </i>
    <i r="2">
      <x v="3"/>
    </i>
    <i>
      <x v="16"/>
    </i>
    <i r="1">
      <x v="8"/>
    </i>
    <i r="2">
      <x v="3"/>
    </i>
    <i t="grand">
      <x/>
    </i>
  </rowItems>
  <colItems count="1">
    <i/>
  </colItems>
  <pageFields count="1">
    <pageField fld="4" item="179" hier="-1"/>
  </pageFields>
  <formats count="8">
    <format dxfId="89">
      <pivotArea dataOnly="0" labelOnly="1" outline="0" fieldPosition="0">
        <references count="1">
          <reference field="4" count="1">
            <x v="88"/>
          </reference>
        </references>
      </pivotArea>
    </format>
    <format dxfId="88">
      <pivotArea dataOnly="0" labelOnly="1" outline="0" fieldPosition="0">
        <references count="1">
          <reference field="4" count="1">
            <x v="88"/>
          </reference>
        </references>
      </pivotArea>
    </format>
    <format dxfId="87">
      <pivotArea dataOnly="0" labelOnly="1" fieldPosition="0">
        <references count="1">
          <reference field="6" count="3">
            <x v="0"/>
            <x v="2"/>
            <x v="8"/>
          </reference>
        </references>
      </pivotArea>
    </format>
    <format dxfId="86">
      <pivotArea dataOnly="0" outline="0" fieldPosition="0">
        <references count="1">
          <reference field="4" count="1">
            <x v="92"/>
          </reference>
        </references>
      </pivotArea>
    </format>
    <format dxfId="85">
      <pivotArea dataOnly="0" labelOnly="1" outline="0" fieldPosition="0">
        <references count="1">
          <reference field="4" count="1">
            <x v="96"/>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101"/>
          </reference>
        </references>
      </pivotArea>
    </format>
    <format dxfId="8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6"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3"/>
    </i>
    <i r="1">
      <x v="2"/>
    </i>
    <i r="2">
      <x v="3"/>
    </i>
    <i>
      <x v="16"/>
    </i>
    <i r="1">
      <x v="7"/>
    </i>
    <i r="2">
      <x v="3"/>
    </i>
    <i t="grand">
      <x/>
    </i>
  </rowItems>
  <colItems count="1">
    <i/>
  </colItems>
  <pageFields count="1">
    <pageField fld="4" item="182" hier="-1"/>
  </pageFields>
  <formats count="8">
    <format dxfId="97">
      <pivotArea dataOnly="0" labelOnly="1" outline="0" fieldPosition="0">
        <references count="1">
          <reference field="4" count="1">
            <x v="88"/>
          </reference>
        </references>
      </pivotArea>
    </format>
    <format dxfId="96">
      <pivotArea dataOnly="0" labelOnly="1" outline="0" fieldPosition="0">
        <references count="1">
          <reference field="4" count="1">
            <x v="88"/>
          </reference>
        </references>
      </pivotArea>
    </format>
    <format dxfId="95">
      <pivotArea dataOnly="0" labelOnly="1" fieldPosition="0">
        <references count="1">
          <reference field="6" count="3">
            <x v="0"/>
            <x v="2"/>
            <x v="8"/>
          </reference>
        </references>
      </pivotArea>
    </format>
    <format dxfId="94">
      <pivotArea dataOnly="0" outline="0" fieldPosition="0">
        <references count="1">
          <reference field="4" count="1">
            <x v="92"/>
          </reference>
        </references>
      </pivotArea>
    </format>
    <format dxfId="93">
      <pivotArea dataOnly="0" labelOnly="1" outline="0" fieldPosition="0">
        <references count="1">
          <reference field="4" count="1">
            <x v="96"/>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101"/>
          </reference>
        </references>
      </pivotArea>
    </format>
    <format dxfId="9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 Id="rId4"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tabColor theme="5"/>
  </sheetPr>
  <dimension ref="A1:AC1040"/>
  <sheetViews>
    <sheetView showGridLines="0" tabSelected="1" zoomScale="70" zoomScaleNormal="70" zoomScaleSheetLayoutView="55" workbookViewId="0">
      <pane ySplit="2" topLeftCell="A866" activePane="bottomLeft" state="frozen"/>
      <selection pane="bottomLeft" activeCell="N1028" sqref="N1028"/>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6">
        <v>1037</v>
      </c>
      <c r="B1" s="237" t="str">
        <f ca="1" xml:space="preserve"> COUNTIF(O:O,"NO") &amp;"                                      -                 "                 &amp; COUNTIF(O:O,"LIMBO")</f>
        <v>77                                      -                 52</v>
      </c>
      <c r="C1" s="237">
        <f ca="1" xml:space="preserve"> COUNTIF(O:O,"SI")</f>
        <v>909</v>
      </c>
      <c r="D1" s="235"/>
      <c r="E1" s="275" t="str">
        <f ca="1" xml:space="preserve"> "Cantidad de audiencias de la fecha:   " &amp; COUNTIF(H:H,TODAY())</f>
        <v>Cantidad de audiencias de la fecha:   10</v>
      </c>
      <c r="F1" s="238"/>
      <c r="G1" s="239"/>
      <c r="H1" s="240"/>
      <c r="I1" s="240"/>
      <c r="J1" s="240" t="s">
        <v>1440</v>
      </c>
      <c r="K1" s="239" t="s">
        <v>899</v>
      </c>
      <c r="L1" s="241" t="s">
        <v>3834</v>
      </c>
      <c r="M1" s="103"/>
      <c r="N1" s="104"/>
      <c r="O1" s="104"/>
      <c r="P1" s="105">
        <v>45246</v>
      </c>
      <c r="Q1" s="242">
        <v>45098</v>
      </c>
      <c r="R1" s="242">
        <v>45100</v>
      </c>
      <c r="S1" s="235"/>
      <c r="T1" s="106"/>
      <c r="U1" s="103"/>
      <c r="Y1" s="235"/>
      <c r="Z1" s="243"/>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3452</v>
      </c>
    </row>
    <row r="3" spans="1:29" ht="25.5"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SI</v>
      </c>
      <c r="U3" s="72">
        <f t="shared" ref="U3:U66" si="3">IF(H3="",0,MONTH(H3))</f>
        <v>2</v>
      </c>
      <c r="V3" s="7"/>
      <c r="W3" s="7"/>
      <c r="X3" s="7"/>
      <c r="Y3" s="7"/>
      <c r="Z3" s="72"/>
      <c r="AA3" s="72"/>
      <c r="AB3" s="72"/>
      <c r="AC3" s="262"/>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61"/>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61"/>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61"/>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61"/>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61"/>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61"/>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61"/>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61"/>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NO</v>
      </c>
      <c r="U12" s="72">
        <f t="shared" si="3"/>
        <v>3</v>
      </c>
      <c r="V12" s="7"/>
      <c r="W12" s="7"/>
      <c r="X12" s="7"/>
      <c r="Y12" s="7"/>
      <c r="Z12" s="72"/>
      <c r="AA12" s="72"/>
      <c r="AB12" s="72"/>
      <c r="AC12" s="361"/>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61"/>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61"/>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61"/>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61"/>
    </row>
    <row r="17" spans="1:29" ht="25.5"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SI</v>
      </c>
      <c r="U17" s="72">
        <f t="shared" si="3"/>
        <v>3</v>
      </c>
      <c r="V17" s="7"/>
      <c r="W17" s="7"/>
      <c r="X17" s="7"/>
      <c r="Y17" s="7"/>
      <c r="Z17" s="72"/>
      <c r="AA17" s="72"/>
      <c r="AB17" s="72"/>
      <c r="AC17" s="361"/>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NO</v>
      </c>
      <c r="U18" s="72">
        <f t="shared" si="3"/>
        <v>3</v>
      </c>
      <c r="V18" s="7"/>
      <c r="W18" s="7"/>
      <c r="X18" s="7"/>
      <c r="Y18" s="7"/>
      <c r="Z18" s="72"/>
      <c r="AA18" s="72"/>
      <c r="AB18" s="72"/>
      <c r="AC18" s="361"/>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NO</v>
      </c>
      <c r="U19" s="72">
        <f t="shared" si="3"/>
        <v>3</v>
      </c>
      <c r="V19" s="7"/>
      <c r="W19" s="7"/>
      <c r="X19" s="7"/>
      <c r="Y19" s="7"/>
      <c r="Z19" s="72"/>
      <c r="AA19" s="72"/>
      <c r="AB19" s="72"/>
      <c r="AC19" s="361"/>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61"/>
    </row>
    <row r="21" spans="1:29" ht="25.5"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SI</v>
      </c>
      <c r="U21" s="72">
        <f t="shared" si="3"/>
        <v>3</v>
      </c>
      <c r="V21" s="7"/>
      <c r="W21" s="7"/>
      <c r="X21" s="7"/>
      <c r="Y21" s="7"/>
      <c r="Z21" s="72"/>
      <c r="AA21" s="72"/>
      <c r="AB21" s="72"/>
      <c r="AC21" s="361"/>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NO</v>
      </c>
      <c r="U22" s="72">
        <f t="shared" si="3"/>
        <v>3</v>
      </c>
      <c r="V22" s="7"/>
      <c r="W22" s="7"/>
      <c r="X22" s="7"/>
      <c r="Y22" s="7"/>
      <c r="Z22" s="72"/>
      <c r="AA22" s="72"/>
      <c r="AB22" s="72"/>
      <c r="AC22" s="361"/>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61"/>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61"/>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61"/>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61"/>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NO</v>
      </c>
      <c r="U27" s="72">
        <f t="shared" si="3"/>
        <v>3</v>
      </c>
      <c r="V27" s="7"/>
      <c r="W27" s="7"/>
      <c r="X27" s="7"/>
      <c r="Y27" s="7"/>
      <c r="Z27" s="72"/>
      <c r="AA27" s="72"/>
      <c r="AB27" s="72"/>
      <c r="AC27" s="361"/>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61"/>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61"/>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61"/>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NO</v>
      </c>
      <c r="U31" s="72">
        <f t="shared" si="3"/>
        <v>3</v>
      </c>
      <c r="V31" s="7"/>
      <c r="W31" s="7"/>
      <c r="X31" s="7"/>
      <c r="Y31" s="7"/>
      <c r="Z31" s="72"/>
      <c r="AA31" s="72"/>
      <c r="AB31" s="72"/>
      <c r="AC31" s="361"/>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61"/>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61"/>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61"/>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61"/>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61"/>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NO</v>
      </c>
      <c r="U37" s="72">
        <f t="shared" si="3"/>
        <v>3</v>
      </c>
      <c r="V37" s="7"/>
      <c r="W37" s="7"/>
      <c r="X37" s="7"/>
      <c r="Y37" s="7"/>
      <c r="Z37" s="72"/>
      <c r="AA37" s="72"/>
      <c r="AB37" s="72"/>
      <c r="AC37" s="361"/>
    </row>
    <row r="38" spans="1:29" ht="5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SI</v>
      </c>
      <c r="U38" s="72">
        <f t="shared" si="3"/>
        <v>3</v>
      </c>
      <c r="V38" s="7"/>
      <c r="W38" s="7"/>
      <c r="X38" s="7"/>
      <c r="Y38" s="7"/>
      <c r="Z38" s="72"/>
      <c r="AA38" s="72"/>
      <c r="AB38" s="72"/>
      <c r="AC38" s="361"/>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61"/>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61"/>
    </row>
    <row r="41" spans="1:29" ht="63.75"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SI</v>
      </c>
      <c r="U41" s="72">
        <f t="shared" si="3"/>
        <v>3</v>
      </c>
      <c r="V41" s="7"/>
      <c r="W41" s="7"/>
      <c r="X41" s="7"/>
      <c r="Y41" s="7"/>
      <c r="Z41" s="72"/>
      <c r="AA41" s="72"/>
      <c r="AB41" s="72"/>
      <c r="AC41" s="361"/>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61"/>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NO</v>
      </c>
      <c r="U43" s="72">
        <f t="shared" si="3"/>
        <v>3</v>
      </c>
      <c r="V43" s="7"/>
      <c r="W43" s="7"/>
      <c r="X43" s="7"/>
      <c r="Y43" s="7"/>
      <c r="Z43" s="72"/>
      <c r="AA43" s="72"/>
      <c r="AB43" s="72"/>
      <c r="AC43" s="361"/>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61"/>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NO</v>
      </c>
      <c r="U45" s="72">
        <f t="shared" si="3"/>
        <v>3</v>
      </c>
      <c r="V45" s="7"/>
      <c r="W45" s="7"/>
      <c r="X45" s="7"/>
      <c r="Y45" s="7"/>
      <c r="Z45" s="72"/>
      <c r="AA45" s="72"/>
      <c r="AB45" s="72"/>
      <c r="AC45" s="361"/>
    </row>
    <row r="46" spans="1:29" ht="5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SI</v>
      </c>
      <c r="U46" s="72">
        <f t="shared" si="3"/>
        <v>3</v>
      </c>
      <c r="V46" s="7"/>
      <c r="W46" s="7"/>
      <c r="X46" s="7"/>
      <c r="Y46" s="7"/>
      <c r="Z46" s="72"/>
      <c r="AA46" s="72"/>
      <c r="AB46" s="72"/>
      <c r="AC46" s="361"/>
    </row>
    <row r="47" spans="1:29" ht="5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SI</v>
      </c>
      <c r="U47" s="72">
        <f t="shared" si="3"/>
        <v>3</v>
      </c>
      <c r="V47" s="7"/>
      <c r="W47" s="7"/>
      <c r="X47" s="7"/>
      <c r="Y47" s="7"/>
      <c r="Z47" s="72"/>
      <c r="AA47" s="72"/>
      <c r="AB47" s="72"/>
      <c r="AC47" s="361"/>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61"/>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61"/>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NO</v>
      </c>
      <c r="U50" s="72">
        <f t="shared" si="3"/>
        <v>3</v>
      </c>
      <c r="V50" s="7"/>
      <c r="W50" s="7"/>
      <c r="X50" s="7"/>
      <c r="Y50" s="7"/>
      <c r="Z50" s="72"/>
      <c r="AA50" s="72"/>
      <c r="AB50" s="72"/>
      <c r="AC50" s="361"/>
    </row>
    <row r="51" spans="1:29" ht="5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SI</v>
      </c>
      <c r="U51" s="72">
        <f t="shared" si="3"/>
        <v>3</v>
      </c>
      <c r="V51" s="7"/>
      <c r="W51" s="7"/>
      <c r="X51" s="7"/>
      <c r="Y51" s="7"/>
      <c r="Z51" s="72"/>
      <c r="AA51" s="72"/>
      <c r="AB51" s="72"/>
      <c r="AC51" s="361"/>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61"/>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61"/>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61"/>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NO</v>
      </c>
      <c r="U55" s="72">
        <f t="shared" si="3"/>
        <v>3</v>
      </c>
      <c r="V55" s="7"/>
      <c r="W55" s="7"/>
      <c r="X55" s="7"/>
      <c r="Y55" s="7"/>
      <c r="Z55" s="72"/>
      <c r="AA55" s="72"/>
      <c r="AB55" s="72"/>
      <c r="AC55" s="361"/>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61"/>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61"/>
    </row>
    <row r="58" spans="1:29" ht="63.75"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SI</v>
      </c>
      <c r="U58" s="72">
        <f t="shared" si="3"/>
        <v>3</v>
      </c>
      <c r="V58" s="7"/>
      <c r="W58" s="7"/>
      <c r="X58" s="7"/>
      <c r="Y58" s="7"/>
      <c r="Z58" s="72"/>
      <c r="AA58" s="72"/>
      <c r="AB58" s="72"/>
      <c r="AC58" s="361"/>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61"/>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61"/>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61"/>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61"/>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61"/>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61"/>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61"/>
    </row>
    <row r="66" spans="1:29" ht="5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SI</v>
      </c>
      <c r="U66" s="72">
        <f t="shared" si="3"/>
        <v>3</v>
      </c>
      <c r="V66" s="7"/>
      <c r="W66" s="7"/>
      <c r="X66" s="7"/>
      <c r="Y66" s="7"/>
      <c r="Z66" s="72"/>
      <c r="AA66" s="72"/>
      <c r="AB66" s="72"/>
      <c r="AC66" s="361"/>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61"/>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61"/>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61"/>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NO</v>
      </c>
      <c r="U70" s="72">
        <f t="shared" si="7"/>
        <v>3</v>
      </c>
      <c r="V70" s="7"/>
      <c r="W70" s="7"/>
      <c r="X70" s="7"/>
      <c r="Y70" s="7"/>
      <c r="Z70" s="72"/>
      <c r="AA70" s="72"/>
      <c r="AB70" s="72"/>
      <c r="AC70" s="361"/>
    </row>
    <row r="71" spans="1:29" ht="38.25"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SI</v>
      </c>
      <c r="U71" s="72">
        <f t="shared" si="7"/>
        <v>3</v>
      </c>
      <c r="V71" s="7"/>
      <c r="W71" s="7"/>
      <c r="X71" s="7"/>
      <c r="Y71" s="7"/>
      <c r="Z71" s="72"/>
      <c r="AA71" s="72"/>
      <c r="AB71" s="72"/>
      <c r="AC71" s="361"/>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61"/>
    </row>
    <row r="73" spans="1:29" ht="5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SI</v>
      </c>
      <c r="U73" s="72">
        <f t="shared" si="7"/>
        <v>3</v>
      </c>
      <c r="V73" s="7"/>
      <c r="W73" s="7"/>
      <c r="X73" s="7"/>
      <c r="Y73" s="7"/>
      <c r="Z73" s="72"/>
      <c r="AA73" s="72"/>
      <c r="AB73" s="72"/>
      <c r="AC73" s="361"/>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61"/>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61"/>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61"/>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NO</v>
      </c>
      <c r="U77" s="72">
        <f t="shared" si="7"/>
        <v>3</v>
      </c>
      <c r="V77" s="7"/>
      <c r="W77" s="7"/>
      <c r="X77" s="7"/>
      <c r="Y77" s="7"/>
      <c r="Z77" s="72"/>
      <c r="AA77" s="72"/>
      <c r="AB77" s="72"/>
      <c r="AC77" s="361"/>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61"/>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61"/>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61"/>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NO</v>
      </c>
      <c r="U81" s="72">
        <f t="shared" si="7"/>
        <v>3</v>
      </c>
      <c r="V81" s="7"/>
      <c r="W81" s="7"/>
      <c r="X81" s="7"/>
      <c r="Y81" s="7"/>
      <c r="Z81" s="72"/>
      <c r="AA81" s="72"/>
      <c r="AB81" s="72"/>
      <c r="AC81" s="361"/>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61"/>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61"/>
    </row>
    <row r="84" spans="1:29" ht="38.25"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SI</v>
      </c>
      <c r="U84" s="72">
        <f t="shared" si="7"/>
        <v>3</v>
      </c>
      <c r="V84" s="7"/>
      <c r="W84" s="7"/>
      <c r="X84" s="7"/>
      <c r="Y84" s="7"/>
      <c r="Z84" s="72"/>
      <c r="AA84" s="72"/>
      <c r="AB84" s="72"/>
      <c r="AC84" s="361"/>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61"/>
    </row>
    <row r="86" spans="1:29" ht="38.25"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SI</v>
      </c>
      <c r="U86" s="72">
        <f t="shared" si="7"/>
        <v>3</v>
      </c>
      <c r="V86" s="7"/>
      <c r="W86" s="7"/>
      <c r="X86" s="7"/>
      <c r="Y86" s="7"/>
      <c r="Z86" s="72"/>
      <c r="AA86" s="72"/>
      <c r="AB86" s="72"/>
      <c r="AC86" s="361"/>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61"/>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61"/>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NO</v>
      </c>
      <c r="U89" s="72">
        <f t="shared" si="7"/>
        <v>3</v>
      </c>
      <c r="V89" s="7"/>
      <c r="W89" s="7"/>
      <c r="X89" s="7"/>
      <c r="Y89" s="7"/>
      <c r="Z89" s="72"/>
      <c r="AA89" s="72"/>
      <c r="AB89" s="72"/>
      <c r="AC89" s="361"/>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61"/>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61"/>
    </row>
    <row r="92" spans="1:29" ht="25.5"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SI</v>
      </c>
      <c r="U92" s="72">
        <f t="shared" si="7"/>
        <v>4</v>
      </c>
      <c r="V92" s="7"/>
      <c r="W92" s="7"/>
      <c r="X92" s="7"/>
      <c r="Y92" s="7"/>
      <c r="Z92" s="72"/>
      <c r="AA92" s="72"/>
      <c r="AB92" s="72"/>
      <c r="AC92" s="361"/>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NO</v>
      </c>
      <c r="U93" s="72">
        <f t="shared" si="7"/>
        <v>4</v>
      </c>
      <c r="V93" s="7"/>
      <c r="W93" s="7"/>
      <c r="X93" s="7"/>
      <c r="Y93" s="7"/>
      <c r="Z93" s="72"/>
      <c r="AA93" s="72"/>
      <c r="AB93" s="72"/>
      <c r="AC93" s="264"/>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61"/>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61"/>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61"/>
    </row>
    <row r="98" spans="1:29" ht="38.25"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SI</v>
      </c>
      <c r="U98" s="72">
        <f t="shared" si="7"/>
        <v>4</v>
      </c>
      <c r="V98" s="7"/>
      <c r="W98" s="7"/>
      <c r="X98" s="7"/>
      <c r="Y98" s="7"/>
      <c r="Z98" s="72"/>
      <c r="AA98" s="72"/>
      <c r="AB98" s="72"/>
      <c r="AC98" s="361"/>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61"/>
    </row>
    <row r="100" spans="1:29" ht="38.25"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SI</v>
      </c>
      <c r="U100" s="72">
        <f t="shared" si="7"/>
        <v>4</v>
      </c>
      <c r="V100" s="7"/>
      <c r="W100" s="7"/>
      <c r="X100" s="7"/>
      <c r="Y100" s="7"/>
      <c r="Z100" s="72"/>
      <c r="AA100" s="72"/>
      <c r="AB100" s="72"/>
      <c r="AC100" s="361"/>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61"/>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NO</v>
      </c>
      <c r="U102" s="72">
        <f t="shared" si="7"/>
        <v>4</v>
      </c>
      <c r="V102" s="7"/>
      <c r="W102" s="7"/>
      <c r="X102" s="7"/>
      <c r="Y102" s="7"/>
      <c r="Z102" s="72"/>
      <c r="AA102" s="72"/>
      <c r="AB102" s="72"/>
      <c r="AC102" s="361"/>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61"/>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61"/>
    </row>
    <row r="105" spans="1:29" ht="5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SI</v>
      </c>
      <c r="U105" s="72">
        <f t="shared" si="7"/>
        <v>4</v>
      </c>
      <c r="V105" s="7"/>
      <c r="W105" s="7"/>
      <c r="X105" s="7"/>
      <c r="Y105" s="7"/>
      <c r="Z105" s="72"/>
      <c r="AA105" s="72"/>
      <c r="AB105" s="72"/>
      <c r="AC105" s="361"/>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61"/>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61"/>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NO</v>
      </c>
      <c r="U108" s="72">
        <f t="shared" si="7"/>
        <v>4</v>
      </c>
      <c r="V108" s="7"/>
      <c r="W108" s="7"/>
      <c r="X108" s="7"/>
      <c r="Y108" s="7"/>
      <c r="Z108" s="72"/>
      <c r="AA108" s="72"/>
      <c r="AB108" s="72"/>
      <c r="AC108" s="361"/>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61"/>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61"/>
    </row>
    <row r="111" spans="1:29" ht="38.25"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SI</v>
      </c>
      <c r="U111" s="72">
        <f t="shared" si="7"/>
        <v>4</v>
      </c>
      <c r="V111" s="7"/>
      <c r="W111" s="7"/>
      <c r="X111" s="7"/>
      <c r="Y111" s="7"/>
      <c r="Z111" s="72"/>
      <c r="AA111" s="72"/>
      <c r="AB111" s="72"/>
      <c r="AC111" s="361"/>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61"/>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61"/>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61"/>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NO</v>
      </c>
      <c r="U115" s="72">
        <f t="shared" si="7"/>
        <v>4</v>
      </c>
      <c r="V115" s="7"/>
      <c r="W115" s="7"/>
      <c r="X115" s="7"/>
      <c r="Y115" s="7"/>
      <c r="Z115" s="72"/>
      <c r="AA115" s="72"/>
      <c r="AB115" s="72"/>
      <c r="AC115" s="361"/>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61"/>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61"/>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NO</v>
      </c>
      <c r="U118" s="72">
        <f t="shared" si="7"/>
        <v>4</v>
      </c>
      <c r="V118" s="7"/>
      <c r="W118" s="7"/>
      <c r="X118" s="7"/>
      <c r="Y118" s="7"/>
      <c r="Z118" s="72"/>
      <c r="AA118" s="72"/>
      <c r="AB118" s="72"/>
      <c r="AC118" s="361"/>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61"/>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61"/>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61"/>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61"/>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61"/>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NO</v>
      </c>
      <c r="U124" s="72">
        <f t="shared" si="7"/>
        <v>4</v>
      </c>
      <c r="V124" s="7"/>
      <c r="W124" s="7"/>
      <c r="X124" s="7"/>
      <c r="Y124" s="7"/>
      <c r="Z124" s="72"/>
      <c r="AA124" s="72"/>
      <c r="AB124" s="72"/>
      <c r="AC124" s="361"/>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61"/>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61"/>
    </row>
    <row r="127" spans="1:29" ht="5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SI</v>
      </c>
      <c r="U127" s="72">
        <f t="shared" si="7"/>
        <v>4</v>
      </c>
      <c r="V127" s="7"/>
      <c r="W127" s="7"/>
      <c r="X127" s="7"/>
      <c r="Y127" s="7"/>
      <c r="Z127" s="72"/>
      <c r="AA127" s="72"/>
      <c r="AB127" s="72"/>
      <c r="AC127" s="361"/>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61"/>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61"/>
    </row>
    <row r="130" spans="1:29" ht="63.75"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SI</v>
      </c>
      <c r="U130" s="72">
        <f t="shared" si="7"/>
        <v>4</v>
      </c>
      <c r="V130" s="7"/>
      <c r="W130" s="7"/>
      <c r="X130" s="7"/>
      <c r="Y130" s="7"/>
      <c r="Z130" s="72"/>
      <c r="AA130" s="72"/>
      <c r="AB130" s="72"/>
      <c r="AC130" s="361"/>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61"/>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61"/>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NO</v>
      </c>
      <c r="U133" s="72">
        <f t="shared" si="11"/>
        <v>4</v>
      </c>
      <c r="V133" s="7"/>
      <c r="W133" s="7"/>
      <c r="X133" s="7"/>
      <c r="Y133" s="7"/>
      <c r="Z133" s="72"/>
      <c r="AA133" s="72"/>
      <c r="AB133" s="72"/>
      <c r="AC133" s="361"/>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61"/>
    </row>
    <row r="135" spans="1:29" ht="25.5"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SI</v>
      </c>
      <c r="U135" s="72">
        <f t="shared" si="11"/>
        <v>4</v>
      </c>
      <c r="V135" s="7"/>
      <c r="W135" s="7"/>
      <c r="X135" s="7"/>
      <c r="Y135" s="7"/>
      <c r="Z135" s="72"/>
      <c r="AA135" s="72"/>
      <c r="AB135" s="72"/>
      <c r="AC135" s="361"/>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61"/>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61"/>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61"/>
    </row>
    <row r="139" spans="1:29" ht="38.25"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SI</v>
      </c>
      <c r="U139" s="72">
        <f t="shared" si="11"/>
        <v>4</v>
      </c>
      <c r="V139" s="7"/>
      <c r="W139" s="7"/>
      <c r="X139" s="7"/>
      <c r="Y139" s="7"/>
      <c r="Z139" s="72"/>
      <c r="AA139" s="72"/>
      <c r="AB139" s="72"/>
      <c r="AC139" s="361"/>
    </row>
    <row r="140" spans="1:29" ht="5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SI</v>
      </c>
      <c r="U140" s="72">
        <f t="shared" si="11"/>
        <v>4</v>
      </c>
      <c r="V140" s="7"/>
      <c r="W140" s="7"/>
      <c r="X140" s="7"/>
      <c r="Y140" s="7"/>
      <c r="Z140" s="72"/>
      <c r="AA140" s="72"/>
      <c r="AB140" s="72"/>
      <c r="AC140" s="361"/>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61"/>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61"/>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61"/>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NO</v>
      </c>
      <c r="U144" s="72">
        <f t="shared" si="11"/>
        <v>4</v>
      </c>
      <c r="V144" s="7"/>
      <c r="W144" s="7"/>
      <c r="X144" s="7"/>
      <c r="Y144" s="7"/>
      <c r="Z144" s="72"/>
      <c r="AA144" s="72"/>
      <c r="AB144" s="72"/>
      <c r="AC144" s="361"/>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NO</v>
      </c>
      <c r="U145" s="72">
        <f t="shared" si="11"/>
        <v>4</v>
      </c>
      <c r="V145" s="7"/>
      <c r="W145" s="7"/>
      <c r="X145" s="7"/>
      <c r="Y145" s="7"/>
      <c r="Z145" s="72"/>
      <c r="AA145" s="72"/>
      <c r="AB145" s="72"/>
      <c r="AC145" s="361"/>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61"/>
    </row>
    <row r="147" spans="1:29" ht="153"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SI</v>
      </c>
      <c r="U147" s="72">
        <f t="shared" si="11"/>
        <v>4</v>
      </c>
      <c r="V147" s="7"/>
      <c r="W147" s="7"/>
      <c r="X147" s="7"/>
      <c r="Y147" s="7"/>
      <c r="Z147" s="72"/>
      <c r="AA147" s="72"/>
      <c r="AB147" s="72"/>
      <c r="AC147" s="361"/>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NO</v>
      </c>
      <c r="U148" s="72">
        <f t="shared" si="11"/>
        <v>4</v>
      </c>
      <c r="V148" s="7"/>
      <c r="W148" s="7"/>
      <c r="X148" s="7"/>
      <c r="Y148" s="7"/>
      <c r="Z148" s="72"/>
      <c r="AA148" s="72"/>
      <c r="AB148" s="72"/>
      <c r="AC148" s="361"/>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61"/>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61"/>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61"/>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NO</v>
      </c>
      <c r="U152" s="72">
        <f t="shared" si="11"/>
        <v>4</v>
      </c>
      <c r="V152" s="7"/>
      <c r="W152" s="7"/>
      <c r="X152" s="7"/>
      <c r="Y152" s="7"/>
      <c r="Z152" s="72"/>
      <c r="AA152" s="72"/>
      <c r="AB152" s="72"/>
      <c r="AC152" s="361"/>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61"/>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61"/>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61"/>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NO</v>
      </c>
      <c r="U156" s="72">
        <f t="shared" si="11"/>
        <v>5</v>
      </c>
      <c r="V156" s="7"/>
      <c r="W156" s="7"/>
      <c r="X156" s="7"/>
      <c r="Y156" s="7"/>
      <c r="Z156" s="72"/>
      <c r="AA156" s="72"/>
      <c r="AB156" s="72"/>
      <c r="AC156" s="361"/>
    </row>
    <row r="157" spans="1:29" ht="5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SI</v>
      </c>
      <c r="U157" s="72">
        <f t="shared" si="11"/>
        <v>5</v>
      </c>
      <c r="V157" s="7"/>
      <c r="W157" s="7"/>
      <c r="X157" s="7"/>
      <c r="Y157" s="7"/>
      <c r="Z157" s="72"/>
      <c r="AA157" s="72"/>
      <c r="AB157" s="72"/>
      <c r="AC157" s="361"/>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61"/>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61"/>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61"/>
    </row>
    <row r="161" spans="1:29" ht="63.75"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SI</v>
      </c>
      <c r="U161" s="72">
        <f t="shared" si="11"/>
        <v>5</v>
      </c>
      <c r="V161" s="7"/>
      <c r="W161" s="7"/>
      <c r="X161" s="7"/>
      <c r="Y161" s="7"/>
      <c r="Z161" s="72"/>
      <c r="AA161" s="72"/>
      <c r="AB161" s="72"/>
      <c r="AC161" s="361"/>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61"/>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61"/>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61"/>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NO</v>
      </c>
      <c r="U165" s="72">
        <f t="shared" si="11"/>
        <v>5</v>
      </c>
      <c r="V165" s="7"/>
      <c r="W165" s="7"/>
      <c r="X165" s="7"/>
      <c r="Y165" s="7"/>
      <c r="Z165" s="72"/>
      <c r="AA165" s="72"/>
      <c r="AB165" s="72"/>
      <c r="AC165" s="361"/>
    </row>
    <row r="166" spans="1:29" ht="25.5"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SI</v>
      </c>
      <c r="U166" s="72">
        <f t="shared" si="11"/>
        <v>5</v>
      </c>
      <c r="V166" s="7"/>
      <c r="W166" s="7"/>
      <c r="X166" s="7"/>
      <c r="Y166" s="7"/>
      <c r="Z166" s="72"/>
      <c r="AA166" s="72"/>
      <c r="AB166" s="72"/>
      <c r="AC166" s="361"/>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61"/>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NO</v>
      </c>
      <c r="U168" s="72">
        <f t="shared" si="11"/>
        <v>5</v>
      </c>
      <c r="V168" s="7"/>
      <c r="W168" s="7"/>
      <c r="X168" s="7"/>
      <c r="Y168" s="7"/>
      <c r="Z168" s="72"/>
      <c r="AA168" s="72"/>
      <c r="AB168" s="72"/>
      <c r="AC168" s="361"/>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61"/>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61"/>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NO</v>
      </c>
      <c r="U171" s="72">
        <f t="shared" si="11"/>
        <v>5</v>
      </c>
      <c r="V171" s="7"/>
      <c r="W171" s="7"/>
      <c r="X171" s="7"/>
      <c r="Y171" s="7"/>
      <c r="Z171" s="72"/>
      <c r="AA171" s="72"/>
      <c r="AB171" s="72"/>
      <c r="AC171" s="361"/>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61"/>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61"/>
    </row>
    <row r="174" spans="1:29" ht="25.5"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SI</v>
      </c>
      <c r="U174" s="72">
        <f t="shared" si="11"/>
        <v>5</v>
      </c>
      <c r="V174" s="7"/>
      <c r="W174" s="7"/>
      <c r="X174" s="7"/>
      <c r="Y174" s="7"/>
      <c r="Z174" s="72"/>
      <c r="AA174" s="72"/>
      <c r="AB174" s="72"/>
      <c r="AC174" s="361"/>
    </row>
    <row r="175" spans="1:29" ht="76.5" outlineLevel="1">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61"/>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61"/>
    </row>
    <row r="177" spans="1:29" ht="89.25"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SI</v>
      </c>
      <c r="U177" s="72">
        <f t="shared" si="11"/>
        <v>5</v>
      </c>
      <c r="V177" s="7"/>
      <c r="W177" s="7"/>
      <c r="X177" s="7"/>
      <c r="Y177" s="7"/>
      <c r="Z177" s="72"/>
      <c r="AA177" s="72"/>
      <c r="AB177" s="72"/>
      <c r="AC177" s="361"/>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61"/>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61"/>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NO</v>
      </c>
      <c r="U180" s="72">
        <f t="shared" si="11"/>
        <v>5</v>
      </c>
      <c r="V180" s="7"/>
      <c r="W180" s="7"/>
      <c r="X180" s="7"/>
      <c r="Y180" s="7"/>
      <c r="Z180" s="72"/>
      <c r="AA180" s="72"/>
      <c r="AB180" s="72"/>
      <c r="AC180" s="361"/>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61"/>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61"/>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61"/>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61"/>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61"/>
    </row>
    <row r="186" spans="1:29" ht="38.25"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SI</v>
      </c>
      <c r="U186" s="72">
        <f t="shared" si="11"/>
        <v>5</v>
      </c>
      <c r="V186" s="7"/>
      <c r="W186" s="7"/>
      <c r="X186" s="7"/>
      <c r="Y186" s="7"/>
      <c r="Z186" s="72"/>
      <c r="AA186" s="72"/>
      <c r="AB186" s="72"/>
      <c r="AC186" s="361"/>
    </row>
    <row r="187" spans="1:29" ht="5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SI</v>
      </c>
      <c r="U187" s="72">
        <f t="shared" si="11"/>
        <v>5</v>
      </c>
      <c r="V187" s="7"/>
      <c r="W187" s="7"/>
      <c r="X187" s="7"/>
      <c r="Y187" s="7"/>
      <c r="Z187" s="72"/>
      <c r="AA187" s="72"/>
      <c r="AB187" s="72"/>
      <c r="AC187" s="361"/>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61"/>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61"/>
    </row>
    <row r="190" spans="1:29" ht="127.5"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SI</v>
      </c>
      <c r="U190" s="72">
        <f t="shared" si="11"/>
        <v>5</v>
      </c>
      <c r="V190" s="7"/>
      <c r="W190" s="7"/>
      <c r="X190" s="7"/>
      <c r="Y190" s="7"/>
      <c r="Z190" s="72"/>
      <c r="AA190" s="72"/>
      <c r="AB190" s="72"/>
      <c r="AC190" s="361"/>
    </row>
    <row r="191" spans="1:29" ht="63.75"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SI</v>
      </c>
      <c r="U191" s="72">
        <f t="shared" si="11"/>
        <v>5</v>
      </c>
      <c r="V191" s="7"/>
      <c r="W191" s="7"/>
      <c r="X191" s="7"/>
      <c r="Y191" s="7"/>
      <c r="Z191" s="72"/>
      <c r="AA191" s="72"/>
      <c r="AB191" s="72"/>
      <c r="AC191" s="361"/>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61"/>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NO</v>
      </c>
      <c r="U193" s="72">
        <f t="shared" si="11"/>
        <v>5</v>
      </c>
      <c r="V193" s="7"/>
      <c r="W193" s="7"/>
      <c r="X193" s="7"/>
      <c r="Y193" s="7"/>
      <c r="Z193" s="72"/>
      <c r="AA193" s="72"/>
      <c r="AB193" s="72"/>
      <c r="AC193" s="361"/>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61"/>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NO</v>
      </c>
      <c r="U195" s="72">
        <f t="shared" ref="U195:U203" si="15">IF(H195="",0,MONTH(H195))</f>
        <v>5</v>
      </c>
      <c r="V195" s="7"/>
      <c r="W195" s="7"/>
      <c r="X195" s="7"/>
      <c r="Y195" s="7"/>
      <c r="Z195" s="72"/>
      <c r="AA195" s="72"/>
      <c r="AB195" s="72"/>
      <c r="AC195" s="361"/>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61"/>
    </row>
    <row r="197" spans="1:29" ht="38.25"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61"/>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61"/>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NO</v>
      </c>
      <c r="U199" s="72">
        <f t="shared" si="15"/>
        <v>6</v>
      </c>
      <c r="V199" s="7"/>
      <c r="W199" s="7"/>
      <c r="X199" s="7" t="s">
        <v>995</v>
      </c>
      <c r="Y199" s="7"/>
      <c r="Z199" s="72"/>
      <c r="AA199" s="72"/>
      <c r="AB199" s="72"/>
      <c r="AC199" s="361"/>
    </row>
    <row r="200" spans="1:29" ht="25.5"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SI</v>
      </c>
      <c r="U200" s="72">
        <f t="shared" si="15"/>
        <v>6</v>
      </c>
      <c r="V200" s="7"/>
      <c r="W200" s="7"/>
      <c r="X200" s="7"/>
      <c r="Y200" s="7"/>
      <c r="Z200" s="72"/>
      <c r="AA200" s="72"/>
      <c r="AB200" s="72"/>
      <c r="AC200" s="361"/>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61"/>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61"/>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61"/>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NO</v>
      </c>
      <c r="U204" s="72"/>
      <c r="V204" s="7"/>
      <c r="W204" s="15" t="s">
        <v>1244</v>
      </c>
      <c r="X204" s="7"/>
      <c r="Y204" s="7"/>
      <c r="Z204" s="72"/>
      <c r="AA204" s="72"/>
      <c r="AB204" s="72"/>
      <c r="AC204" s="361"/>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2"/>
      <c r="AB205" s="72"/>
      <c r="AC205" s="361"/>
    </row>
    <row r="206" spans="1:29" ht="51" outlineLevel="1">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SI</v>
      </c>
      <c r="U206" s="72">
        <f t="shared" si="16"/>
        <v>6</v>
      </c>
      <c r="V206" s="7"/>
      <c r="W206" s="7" t="s">
        <v>1015</v>
      </c>
      <c r="X206" s="7"/>
      <c r="Y206" s="7"/>
      <c r="Z206" s="72"/>
      <c r="AA206" s="332"/>
      <c r="AB206" s="72"/>
      <c r="AC206" s="361"/>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2"/>
      <c r="AB207" s="72"/>
      <c r="AC207" s="361"/>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2"/>
      <c r="AB208" s="72"/>
      <c r="AC208" s="361"/>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2"/>
      <c r="AB209" s="72"/>
      <c r="AC209" s="361"/>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61"/>
    </row>
    <row r="211" spans="1:29" ht="63.75"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SI</v>
      </c>
      <c r="U211" s="72">
        <f t="shared" si="16"/>
        <v>6</v>
      </c>
      <c r="V211" s="7"/>
      <c r="W211" s="15" t="s">
        <v>1018</v>
      </c>
      <c r="X211" s="7" t="s">
        <v>1019</v>
      </c>
      <c r="Y211" s="7"/>
      <c r="Z211" s="72"/>
      <c r="AA211" s="72"/>
      <c r="AB211" s="72"/>
      <c r="AC211" s="361"/>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61"/>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61"/>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NO</v>
      </c>
      <c r="U214" s="72">
        <f t="shared" si="16"/>
        <v>6</v>
      </c>
      <c r="V214" s="7"/>
      <c r="W214" s="15" t="s">
        <v>1134</v>
      </c>
      <c r="X214" s="7"/>
      <c r="Y214" s="7"/>
      <c r="Z214" s="72"/>
      <c r="AA214" s="72"/>
      <c r="AB214" s="72"/>
      <c r="AC214" s="361"/>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61"/>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61"/>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61"/>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61"/>
    </row>
    <row r="219" spans="1:29" ht="76.5"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SI</v>
      </c>
      <c r="U219" s="77">
        <f t="shared" si="16"/>
        <v>6</v>
      </c>
      <c r="V219" s="67"/>
      <c r="W219" s="74" t="s">
        <v>1125</v>
      </c>
      <c r="X219" s="67" t="s">
        <v>1069</v>
      </c>
      <c r="Y219" s="67"/>
      <c r="Z219" s="284"/>
      <c r="AA219" s="72"/>
      <c r="AB219" s="72"/>
      <c r="AC219" s="361"/>
    </row>
    <row r="220" spans="1:29" ht="5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SI</v>
      </c>
      <c r="U220" s="77">
        <f t="shared" si="16"/>
        <v>6</v>
      </c>
      <c r="V220" s="67"/>
      <c r="W220" s="74" t="s">
        <v>1125</v>
      </c>
      <c r="X220" s="67"/>
      <c r="Y220" s="67"/>
      <c r="Z220" s="284"/>
      <c r="AA220" s="72"/>
      <c r="AB220" s="72"/>
      <c r="AC220" s="361"/>
    </row>
    <row r="221" spans="1:29" ht="25.5">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SI</v>
      </c>
      <c r="U221" s="77"/>
      <c r="V221" s="67"/>
      <c r="W221" s="74" t="s">
        <v>1127</v>
      </c>
      <c r="X221" s="7"/>
      <c r="Y221" s="67"/>
      <c r="Z221" s="123"/>
      <c r="AA221" s="72"/>
      <c r="AB221" s="72"/>
      <c r="AC221" s="361"/>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61"/>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NO</v>
      </c>
      <c r="U223" s="77"/>
      <c r="V223" s="67"/>
      <c r="W223" s="74" t="s">
        <v>1003</v>
      </c>
      <c r="X223" s="67"/>
      <c r="Y223" s="67"/>
      <c r="Z223" s="123"/>
      <c r="AA223" s="72"/>
      <c r="AB223" s="72"/>
      <c r="AC223" s="361"/>
    </row>
    <row r="224" spans="1:29" ht="5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SI</v>
      </c>
      <c r="U224" s="77"/>
      <c r="V224" s="67"/>
      <c r="W224" s="74" t="s">
        <v>1129</v>
      </c>
      <c r="X224" s="67"/>
      <c r="Y224" s="67"/>
      <c r="Z224" s="123"/>
      <c r="AA224" s="72"/>
      <c r="AB224" s="72"/>
      <c r="AC224" s="361"/>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61"/>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61"/>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61"/>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61"/>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61"/>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61"/>
    </row>
    <row r="231" spans="1:29" ht="25.5">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SI</v>
      </c>
      <c r="U231" s="72"/>
      <c r="V231" s="7"/>
      <c r="W231" s="15" t="s">
        <v>1018</v>
      </c>
      <c r="X231" s="7"/>
      <c r="Y231" s="7"/>
      <c r="Z231" s="123"/>
      <c r="AA231" s="72"/>
      <c r="AB231" s="72"/>
      <c r="AC231" s="361"/>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61"/>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61"/>
    </row>
    <row r="234" spans="1:29" ht="5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SI</v>
      </c>
      <c r="U234" s="77"/>
      <c r="V234" s="67"/>
      <c r="W234" s="67" t="s">
        <v>1167</v>
      </c>
      <c r="X234" s="67" t="s">
        <v>1177</v>
      </c>
      <c r="Y234" s="67"/>
      <c r="Z234" s="123"/>
      <c r="AA234" s="72"/>
      <c r="AB234" s="72"/>
      <c r="AC234" s="361"/>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61"/>
    </row>
    <row r="236" spans="1:29" ht="38.25">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61"/>
    </row>
    <row r="237" spans="1:29" ht="38.25">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NO</v>
      </c>
      <c r="U237" s="77"/>
      <c r="V237" s="67"/>
      <c r="W237" s="74">
        <v>0.375</v>
      </c>
      <c r="X237" s="67" t="s">
        <v>1102</v>
      </c>
      <c r="Y237" s="67"/>
      <c r="Z237" s="123"/>
      <c r="AA237" s="284"/>
      <c r="AB237" s="333"/>
      <c r="AC237" s="361"/>
    </row>
    <row r="238" spans="1:29" ht="38.25">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4"/>
      <c r="AB238" s="333"/>
      <c r="AC238" s="361"/>
    </row>
    <row r="239" spans="1:29" ht="76.5">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3"/>
      <c r="AC239" s="361"/>
    </row>
    <row r="240" spans="1:29" ht="38.25">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SI</v>
      </c>
      <c r="U240" s="75"/>
      <c r="V240" s="57"/>
      <c r="W240" s="67"/>
      <c r="X240" s="67" t="s">
        <v>1207</v>
      </c>
      <c r="Y240" s="67"/>
      <c r="Z240" s="123"/>
      <c r="AA240" s="284"/>
      <c r="AB240" s="333"/>
      <c r="AC240" s="361"/>
    </row>
    <row r="241" spans="1:29" ht="38.25">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SI</v>
      </c>
      <c r="U241" s="86"/>
      <c r="V241" s="57"/>
      <c r="W241" s="67" t="s">
        <v>1206</v>
      </c>
      <c r="X241" s="67"/>
      <c r="Y241" s="67"/>
      <c r="Z241" s="123"/>
      <c r="AA241" s="284"/>
      <c r="AB241" s="333"/>
      <c r="AC241" s="361"/>
    </row>
    <row r="242" spans="1:29" ht="63.75">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3" t="s">
        <v>1041</v>
      </c>
      <c r="AA242" s="284"/>
      <c r="AB242" s="333"/>
      <c r="AC242" s="361"/>
    </row>
    <row r="243" spans="1:29" ht="38.25">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NO</v>
      </c>
      <c r="U243" s="77"/>
      <c r="V243" s="67"/>
      <c r="W243" s="74" t="s">
        <v>1167</v>
      </c>
      <c r="X243" s="67" t="s">
        <v>1214</v>
      </c>
      <c r="Y243" s="67"/>
      <c r="Z243" s="123" t="s">
        <v>1042</v>
      </c>
      <c r="AA243" s="284"/>
      <c r="AB243" s="333"/>
      <c r="AC243" s="361"/>
    </row>
    <row r="244" spans="1:29" ht="63.75">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3"/>
      <c r="AC244" s="361"/>
    </row>
    <row r="245" spans="1:29" ht="5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SI</v>
      </c>
      <c r="U245" s="86"/>
      <c r="V245" s="83"/>
      <c r="W245" s="67" t="s">
        <v>1229</v>
      </c>
      <c r="X245" s="67" t="s">
        <v>1232</v>
      </c>
      <c r="Y245" s="67"/>
      <c r="Z245" s="123" t="s">
        <v>743</v>
      </c>
      <c r="AA245" s="284"/>
      <c r="AB245" s="333"/>
      <c r="AC245" s="361"/>
    </row>
    <row r="246" spans="1:29" ht="76.5">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1251</v>
      </c>
      <c r="X246" s="67" t="s">
        <v>1252</v>
      </c>
      <c r="Y246" s="67"/>
      <c r="Z246" s="123" t="s">
        <v>1041</v>
      </c>
      <c r="AA246" s="284" t="s">
        <v>1190</v>
      </c>
      <c r="AB246" s="333" t="s">
        <v>1172</v>
      </c>
      <c r="AC246" s="361"/>
    </row>
    <row r="247" spans="1:29" ht="38.25">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NO</v>
      </c>
      <c r="U247" s="77"/>
      <c r="V247" s="67"/>
      <c r="W247" s="67" t="s">
        <v>1278</v>
      </c>
      <c r="X247" s="67" t="s">
        <v>1279</v>
      </c>
      <c r="Y247" s="67"/>
      <c r="Z247" s="284" t="s">
        <v>1042</v>
      </c>
      <c r="AA247" s="284" t="s">
        <v>1171</v>
      </c>
      <c r="AB247" s="333" t="s">
        <v>1174</v>
      </c>
      <c r="AC247" s="361"/>
    </row>
    <row r="248" spans="1:29" ht="38.25">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SI</v>
      </c>
      <c r="U248" s="77"/>
      <c r="V248" s="67"/>
      <c r="W248" s="67" t="s">
        <v>1275</v>
      </c>
      <c r="X248" s="67" t="s">
        <v>1276</v>
      </c>
      <c r="Y248" s="67"/>
      <c r="Z248" s="284" t="s">
        <v>748</v>
      </c>
      <c r="AA248" s="284" t="s">
        <v>1169</v>
      </c>
      <c r="AB248" s="333" t="s">
        <v>1172</v>
      </c>
      <c r="AC248" s="361"/>
    </row>
    <row r="249" spans="1:29" ht="5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NO</v>
      </c>
      <c r="U249" s="77"/>
      <c r="V249" s="67"/>
      <c r="W249" s="67" t="s">
        <v>1296</v>
      </c>
      <c r="X249" s="67"/>
      <c r="Y249" s="67"/>
      <c r="Z249" s="284" t="s">
        <v>743</v>
      </c>
      <c r="AA249" s="72"/>
      <c r="AB249" s="284" t="s">
        <v>1175</v>
      </c>
      <c r="AC249" s="361"/>
    </row>
    <row r="250" spans="1:29" ht="25.5">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NO</v>
      </c>
      <c r="U250" s="77"/>
      <c r="V250" s="67"/>
      <c r="W250" s="67" t="s">
        <v>1008</v>
      </c>
      <c r="X250" s="67" t="s">
        <v>1292</v>
      </c>
      <c r="Y250" s="67"/>
      <c r="Z250" s="284" t="s">
        <v>1041</v>
      </c>
      <c r="AA250" s="284" t="s">
        <v>1170</v>
      </c>
      <c r="AB250" s="284" t="s">
        <v>1173</v>
      </c>
      <c r="AC250" s="361"/>
    </row>
    <row r="251" spans="1:29" ht="5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61"/>
    </row>
    <row r="252" spans="1:29" ht="25.5">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NO</v>
      </c>
      <c r="U252" s="77"/>
      <c r="V252" s="67"/>
      <c r="W252" s="74">
        <v>0.40902777777777777</v>
      </c>
      <c r="X252" s="67"/>
      <c r="Y252" s="67"/>
      <c r="Z252" s="284" t="s">
        <v>748</v>
      </c>
      <c r="AA252" s="284" t="s">
        <v>1168</v>
      </c>
      <c r="AB252" s="284" t="s">
        <v>1174</v>
      </c>
      <c r="AC252" s="361"/>
    </row>
    <row r="253" spans="1:29" ht="38.25">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SI</v>
      </c>
      <c r="U253" s="77"/>
      <c r="V253" s="67"/>
      <c r="W253" s="67" t="s">
        <v>1239</v>
      </c>
      <c r="X253" s="67" t="s">
        <v>1310</v>
      </c>
      <c r="Y253" s="67"/>
      <c r="Z253" s="284" t="s">
        <v>743</v>
      </c>
      <c r="AA253" s="284" t="s">
        <v>743</v>
      </c>
      <c r="AB253" s="284" t="s">
        <v>1176</v>
      </c>
      <c r="AC253" s="361"/>
    </row>
    <row r="254" spans="1:29" ht="5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1337</v>
      </c>
      <c r="Y254" s="67"/>
      <c r="Z254" s="284" t="s">
        <v>770</v>
      </c>
      <c r="AA254" s="284" t="s">
        <v>743</v>
      </c>
      <c r="AB254" s="284" t="s">
        <v>1175</v>
      </c>
      <c r="AC254" s="361"/>
    </row>
    <row r="255" spans="1:29" ht="76.5">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61"/>
    </row>
    <row r="256" spans="1:29" ht="5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61"/>
    </row>
    <row r="257" spans="1:29" ht="38.25">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SI</v>
      </c>
      <c r="U257" s="77"/>
      <c r="V257" s="67"/>
      <c r="W257" s="74">
        <v>0.36388888888888887</v>
      </c>
      <c r="X257" s="67"/>
      <c r="Y257" s="67"/>
      <c r="Z257" s="284" t="s">
        <v>748</v>
      </c>
      <c r="AA257" s="284" t="s">
        <v>1168</v>
      </c>
      <c r="AB257" s="284" t="s">
        <v>1174</v>
      </c>
      <c r="AC257" s="361"/>
    </row>
    <row r="258" spans="1:29" ht="38.25">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NO</v>
      </c>
      <c r="U258" s="77"/>
      <c r="V258" s="67"/>
      <c r="W258" s="67" t="s">
        <v>1050</v>
      </c>
      <c r="X258" s="67" t="s">
        <v>1310</v>
      </c>
      <c r="Y258" s="67"/>
      <c r="Z258" s="284" t="s">
        <v>743</v>
      </c>
      <c r="AA258" s="284" t="s">
        <v>1168</v>
      </c>
      <c r="AB258" s="284" t="s">
        <v>1176</v>
      </c>
      <c r="AC258" s="361"/>
    </row>
    <row r="259" spans="1:29" ht="38.25">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61"/>
    </row>
    <row r="260" spans="1:29" ht="5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61"/>
    </row>
    <row r="261" spans="1:29" ht="5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NO</v>
      </c>
      <c r="U261" s="77"/>
      <c r="V261" s="67"/>
      <c r="W261" s="74">
        <v>0.36805555555555558</v>
      </c>
      <c r="X261" s="67"/>
      <c r="Y261" s="67"/>
      <c r="Z261" s="284" t="s">
        <v>1042</v>
      </c>
      <c r="AA261" s="284" t="s">
        <v>1168</v>
      </c>
      <c r="AB261" s="284" t="s">
        <v>1172</v>
      </c>
      <c r="AC261" s="361"/>
    </row>
    <row r="262" spans="1:29" ht="38.25">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1374</v>
      </c>
      <c r="X262" s="67" t="s">
        <v>1375</v>
      </c>
      <c r="Y262" s="67"/>
      <c r="Z262" s="284" t="s">
        <v>748</v>
      </c>
      <c r="AA262" s="123" t="s">
        <v>1170</v>
      </c>
      <c r="AB262" s="284" t="s">
        <v>1174</v>
      </c>
      <c r="AC262" s="361"/>
    </row>
    <row r="263" spans="1:29" ht="63.75">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SI</v>
      </c>
      <c r="U263" s="77"/>
      <c r="V263" s="67"/>
      <c r="W263" s="67" t="s">
        <v>1377</v>
      </c>
      <c r="X263" s="67" t="s">
        <v>1375</v>
      </c>
      <c r="Y263" s="67"/>
      <c r="Z263" s="284" t="s">
        <v>743</v>
      </c>
      <c r="AA263" s="284" t="s">
        <v>743</v>
      </c>
      <c r="AB263" s="284" t="s">
        <v>1176</v>
      </c>
      <c r="AC263" s="361"/>
    </row>
    <row r="264" spans="1:29" ht="38.25">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4" t="s">
        <v>770</v>
      </c>
      <c r="AA264" s="123" t="s">
        <v>1168</v>
      </c>
      <c r="AB264" s="284" t="s">
        <v>1175</v>
      </c>
      <c r="AC264" s="361"/>
    </row>
    <row r="265" spans="1:29" ht="63.75">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NO</v>
      </c>
      <c r="U265" s="77"/>
      <c r="V265" s="67"/>
      <c r="W265" s="67" t="s">
        <v>1371</v>
      </c>
      <c r="X265" s="67" t="s">
        <v>1376</v>
      </c>
      <c r="Y265" s="67"/>
      <c r="Z265" s="123" t="s">
        <v>1041</v>
      </c>
      <c r="AA265" s="123" t="s">
        <v>1170</v>
      </c>
      <c r="AB265" s="284" t="s">
        <v>1173</v>
      </c>
      <c r="AC265" s="361"/>
    </row>
    <row r="266" spans="1:29" ht="89.25">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61"/>
    </row>
    <row r="267" spans="1:29" ht="5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61"/>
    </row>
    <row r="268" spans="1:29" ht="5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SI</v>
      </c>
      <c r="U268" s="77"/>
      <c r="V268" s="67"/>
      <c r="W268" s="67" t="s">
        <v>1395</v>
      </c>
      <c r="X268" s="67" t="s">
        <v>1401</v>
      </c>
      <c r="Y268" s="67"/>
      <c r="Z268" s="284" t="s">
        <v>743</v>
      </c>
      <c r="AA268" s="123" t="s">
        <v>743</v>
      </c>
      <c r="AB268" s="284" t="s">
        <v>1176</v>
      </c>
      <c r="AC268" s="361"/>
    </row>
    <row r="269" spans="1:29" ht="38.25">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61"/>
    </row>
    <row r="270" spans="1:29" ht="38.25">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NO</v>
      </c>
      <c r="U270" s="77"/>
      <c r="V270" s="67"/>
      <c r="W270" s="67" t="s">
        <v>1228</v>
      </c>
      <c r="X270" s="67"/>
      <c r="Y270" s="67"/>
      <c r="Z270" s="123" t="s">
        <v>1041</v>
      </c>
      <c r="AA270" s="123" t="s">
        <v>743</v>
      </c>
      <c r="AB270" s="123" t="s">
        <v>1173</v>
      </c>
      <c r="AC270" s="361"/>
    </row>
    <row r="271" spans="1:29" ht="63.75">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NO</v>
      </c>
      <c r="U271" s="77"/>
      <c r="V271" s="67"/>
      <c r="W271" s="67" t="s">
        <v>1403</v>
      </c>
      <c r="X271" s="67" t="s">
        <v>1310</v>
      </c>
      <c r="Y271" s="67"/>
      <c r="Z271" s="123" t="s">
        <v>1042</v>
      </c>
      <c r="AA271" s="123" t="s">
        <v>1170</v>
      </c>
      <c r="AB271" s="284" t="s">
        <v>1172</v>
      </c>
      <c r="AC271" s="361"/>
    </row>
    <row r="272" spans="1:29" ht="25.5">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SI</v>
      </c>
      <c r="U272" s="77"/>
      <c r="V272" s="67"/>
      <c r="W272" s="67" t="s">
        <v>1122</v>
      </c>
      <c r="X272" s="67" t="s">
        <v>1389</v>
      </c>
      <c r="Y272" s="67"/>
      <c r="Z272" s="123" t="s">
        <v>748</v>
      </c>
      <c r="AA272" s="123" t="s">
        <v>743</v>
      </c>
      <c r="AB272" s="284" t="s">
        <v>1174</v>
      </c>
      <c r="AC272" s="361"/>
    </row>
    <row r="273" spans="1:29" ht="5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NO</v>
      </c>
      <c r="U273" s="77"/>
      <c r="V273" s="67"/>
      <c r="W273" s="74">
        <v>0.38958333333333334</v>
      </c>
      <c r="X273" s="67" t="s">
        <v>1431</v>
      </c>
      <c r="Y273" s="67"/>
      <c r="Z273" s="123" t="s">
        <v>743</v>
      </c>
      <c r="AA273" s="123" t="s">
        <v>1168</v>
      </c>
      <c r="AB273" s="284" t="s">
        <v>1176</v>
      </c>
      <c r="AC273" s="361"/>
    </row>
    <row r="274" spans="1:29" ht="38.25">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61"/>
    </row>
    <row r="275" spans="1:29" ht="38.25">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61"/>
    </row>
    <row r="276" spans="1:29" ht="38.25">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NO</v>
      </c>
      <c r="U276" s="69"/>
      <c r="V276" s="69"/>
      <c r="W276" s="69" t="s">
        <v>1395</v>
      </c>
      <c r="X276" s="67" t="s">
        <v>1389</v>
      </c>
      <c r="Y276" s="67"/>
      <c r="Z276" s="123" t="s">
        <v>1042</v>
      </c>
      <c r="AA276" s="123" t="s">
        <v>743</v>
      </c>
      <c r="AB276" s="284" t="s">
        <v>1174</v>
      </c>
      <c r="AC276" s="361"/>
    </row>
    <row r="277" spans="1:29" ht="25.5">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1444</v>
      </c>
      <c r="X277" s="67" t="s">
        <v>1310</v>
      </c>
      <c r="Y277" s="67"/>
      <c r="Z277" s="123" t="s">
        <v>748</v>
      </c>
      <c r="AA277" s="123" t="s">
        <v>1170</v>
      </c>
      <c r="AB277" s="284" t="s">
        <v>1176</v>
      </c>
      <c r="AC277" s="361"/>
    </row>
    <row r="278" spans="1:29" ht="38.25">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61"/>
    </row>
    <row r="279" spans="1:29" ht="89.25">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NO</v>
      </c>
      <c r="U279" s="77"/>
      <c r="V279" s="67"/>
      <c r="W279" s="67" t="s">
        <v>1230</v>
      </c>
      <c r="X279" s="67"/>
      <c r="Y279" s="67"/>
      <c r="Z279" s="123" t="s">
        <v>743</v>
      </c>
      <c r="AA279" s="123" t="s">
        <v>1168</v>
      </c>
      <c r="AB279" s="284" t="s">
        <v>1175</v>
      </c>
      <c r="AC279" s="361"/>
    </row>
    <row r="280" spans="1:29" ht="25.5">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61"/>
    </row>
    <row r="281" spans="1:29" ht="5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NO</v>
      </c>
      <c r="U281" s="77"/>
      <c r="V281" s="67"/>
      <c r="W281" s="67" t="s">
        <v>1086</v>
      </c>
      <c r="X281" s="67" t="s">
        <v>1462</v>
      </c>
      <c r="Y281" s="67"/>
      <c r="Z281" s="123" t="s">
        <v>1041</v>
      </c>
      <c r="AA281" s="123" t="s">
        <v>1168</v>
      </c>
      <c r="AB281" s="284" t="s">
        <v>1172</v>
      </c>
      <c r="AC281" s="361"/>
    </row>
    <row r="282" spans="1:29" ht="38.25">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1457</v>
      </c>
      <c r="X282" s="67" t="s">
        <v>1458</v>
      </c>
      <c r="Y282" s="67"/>
      <c r="Z282" s="123" t="s">
        <v>1042</v>
      </c>
      <c r="AA282" s="123" t="s">
        <v>1170</v>
      </c>
      <c r="AB282" s="284" t="s">
        <v>1174</v>
      </c>
      <c r="AC282" s="361"/>
    </row>
    <row r="283" spans="1:29" ht="5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61"/>
    </row>
    <row r="284" spans="1:29" ht="114.75">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NO</v>
      </c>
      <c r="U284" s="77"/>
      <c r="V284" s="67"/>
      <c r="W284" s="67" t="s">
        <v>1243</v>
      </c>
      <c r="X284" s="67"/>
      <c r="Y284" s="67"/>
      <c r="Z284" s="123" t="s">
        <v>743</v>
      </c>
      <c r="AA284" s="123" t="s">
        <v>1168</v>
      </c>
      <c r="AB284" s="284" t="s">
        <v>1175</v>
      </c>
      <c r="AC284" s="361"/>
    </row>
    <row r="285" spans="1:29" ht="38.25">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61"/>
    </row>
    <row r="286" spans="1:29" ht="38.25">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61"/>
    </row>
    <row r="287" spans="1:29" ht="76.5">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61"/>
    </row>
    <row r="288" spans="1:29" ht="5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61"/>
    </row>
    <row r="289" spans="1:29" ht="38.25">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61"/>
    </row>
    <row r="290" spans="1:29" ht="89.25">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NO</v>
      </c>
      <c r="U290" s="72"/>
      <c r="V290" s="7"/>
      <c r="W290" s="7" t="s">
        <v>1509</v>
      </c>
      <c r="X290" s="7"/>
      <c r="Y290" s="7"/>
      <c r="Z290" s="284" t="s">
        <v>770</v>
      </c>
      <c r="AA290" s="123" t="s">
        <v>1170</v>
      </c>
      <c r="AB290" s="284" t="s">
        <v>1173</v>
      </c>
      <c r="AC290" s="361"/>
    </row>
    <row r="291" spans="1:29" ht="38.25">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NO</v>
      </c>
      <c r="U291" s="114"/>
      <c r="V291" s="112"/>
      <c r="W291" s="272">
        <v>0.40208333333333335</v>
      </c>
      <c r="X291" s="112" t="s">
        <v>1500</v>
      </c>
      <c r="Y291" s="112"/>
      <c r="Z291" s="284" t="s">
        <v>1041</v>
      </c>
      <c r="AA291" s="123" t="s">
        <v>743</v>
      </c>
      <c r="AB291" s="123" t="s">
        <v>1172</v>
      </c>
      <c r="AC291" s="361"/>
    </row>
    <row r="292" spans="1:29" ht="38.25">
      <c r="A292" s="67">
        <v>286</v>
      </c>
      <c r="B292" s="69">
        <v>45100</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61"/>
    </row>
    <row r="293" spans="1:29" ht="63.75">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SI</v>
      </c>
      <c r="U293" s="77"/>
      <c r="V293" s="67"/>
      <c r="W293" s="67" t="s">
        <v>1008</v>
      </c>
      <c r="X293" s="67" t="s">
        <v>1530</v>
      </c>
      <c r="Y293" s="67"/>
      <c r="Z293" s="123" t="s">
        <v>748</v>
      </c>
      <c r="AA293" s="123" t="s">
        <v>1170</v>
      </c>
      <c r="AB293" s="123" t="s">
        <v>1172</v>
      </c>
      <c r="AC293" s="361"/>
    </row>
    <row r="294" spans="1:29" ht="38.25">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NO</v>
      </c>
      <c r="U294" s="77"/>
      <c r="V294" s="67"/>
      <c r="W294" s="67" t="s">
        <v>686</v>
      </c>
      <c r="X294" s="67"/>
      <c r="Y294" s="67"/>
      <c r="Z294" s="123" t="s">
        <v>743</v>
      </c>
      <c r="AA294" s="123" t="s">
        <v>1168</v>
      </c>
      <c r="AB294" s="123" t="s">
        <v>1175</v>
      </c>
      <c r="AC294" s="361"/>
    </row>
    <row r="295" spans="1:29" ht="38.25">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61"/>
    </row>
    <row r="296" spans="1:29" ht="38.25">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1535</v>
      </c>
      <c r="X296" s="67" t="s">
        <v>1536</v>
      </c>
      <c r="Y296" s="67"/>
      <c r="Z296" s="284" t="s">
        <v>1041</v>
      </c>
      <c r="AA296" s="123" t="s">
        <v>743</v>
      </c>
      <c r="AB296" s="123" t="s">
        <v>1172</v>
      </c>
      <c r="AC296" s="361"/>
    </row>
    <row r="297" spans="1:29" ht="63.75">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61"/>
    </row>
    <row r="298" spans="1:29" ht="1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NO</v>
      </c>
      <c r="U298" s="77"/>
      <c r="V298" s="67"/>
      <c r="W298" s="67" t="s">
        <v>1464</v>
      </c>
      <c r="X298" s="67" t="s">
        <v>1538</v>
      </c>
      <c r="Y298" s="67"/>
      <c r="Z298" s="123" t="s">
        <v>748</v>
      </c>
      <c r="AA298" s="123" t="s">
        <v>1168</v>
      </c>
      <c r="AB298" s="123" t="s">
        <v>1176</v>
      </c>
      <c r="AC298" s="361"/>
    </row>
    <row r="299" spans="1:29" ht="38.25">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61"/>
    </row>
    <row r="300" spans="1:29" ht="5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61"/>
    </row>
    <row r="301" spans="1:29" ht="5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61"/>
    </row>
    <row r="302" spans="1:29" ht="38.25">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NO</v>
      </c>
      <c r="U302" s="77"/>
      <c r="V302" s="67"/>
      <c r="W302" s="67" t="s">
        <v>1569</v>
      </c>
      <c r="X302" s="67" t="s">
        <v>1572</v>
      </c>
      <c r="Y302" s="67"/>
      <c r="Z302" s="123" t="s">
        <v>1042</v>
      </c>
      <c r="AA302" s="123" t="s">
        <v>743</v>
      </c>
      <c r="AB302" s="123" t="s">
        <v>1176</v>
      </c>
      <c r="AC302" s="361"/>
    </row>
    <row r="303" spans="1:29" ht="38.25">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61"/>
    </row>
    <row r="304" spans="1:29" ht="89.25">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61"/>
    </row>
    <row r="305" spans="1:29" ht="89.25">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NO</v>
      </c>
      <c r="U305" s="77"/>
      <c r="V305" s="67"/>
      <c r="W305" s="67" t="s">
        <v>1137</v>
      </c>
      <c r="X305" s="67" t="s">
        <v>1612</v>
      </c>
      <c r="Y305" s="67"/>
      <c r="Z305" s="284" t="s">
        <v>770</v>
      </c>
      <c r="AA305" s="123" t="s">
        <v>1170</v>
      </c>
      <c r="AB305" s="284" t="s">
        <v>1174</v>
      </c>
      <c r="AC305" s="361"/>
    </row>
    <row r="306" spans="1:29" ht="38.25">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NO</v>
      </c>
      <c r="U306" s="77"/>
      <c r="V306" s="67"/>
      <c r="W306" s="67" t="s">
        <v>1237</v>
      </c>
      <c r="X306" s="67" t="s">
        <v>1505</v>
      </c>
      <c r="Y306" s="67"/>
      <c r="Z306" s="284" t="s">
        <v>1041</v>
      </c>
      <c r="AA306" s="123" t="s">
        <v>743</v>
      </c>
      <c r="AB306" s="123" t="s">
        <v>1176</v>
      </c>
      <c r="AC306" s="361"/>
    </row>
    <row r="307" spans="1:29" ht="76.5">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61"/>
    </row>
    <row r="308" spans="1:29" ht="89.25">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61"/>
    </row>
    <row r="309" spans="1:29" ht="38.25">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SI</v>
      </c>
      <c r="U309" s="77"/>
      <c r="V309" s="67"/>
      <c r="W309" s="67" t="s">
        <v>1591</v>
      </c>
      <c r="X309" s="67"/>
      <c r="Y309" s="67"/>
      <c r="Z309" s="123" t="s">
        <v>743</v>
      </c>
      <c r="AA309" s="123" t="s">
        <v>743</v>
      </c>
      <c r="AB309" s="123" t="s">
        <v>1172</v>
      </c>
      <c r="AC309" s="361"/>
    </row>
    <row r="310" spans="1:29" ht="5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61"/>
    </row>
    <row r="311" spans="1:29" ht="5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NO</v>
      </c>
      <c r="U311" s="77"/>
      <c r="V311" s="67"/>
      <c r="W311" s="67" t="s">
        <v>1599</v>
      </c>
      <c r="X311" s="67" t="s">
        <v>1310</v>
      </c>
      <c r="Y311" s="67"/>
      <c r="Z311" s="284" t="s">
        <v>1041</v>
      </c>
      <c r="AA311" s="123" t="s">
        <v>1168</v>
      </c>
      <c r="AB311" s="123" t="s">
        <v>1176</v>
      </c>
      <c r="AC311" s="361"/>
    </row>
    <row r="312" spans="1:29" ht="51">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t="shared" ca="1" si="18"/>
        <v>SI</v>
      </c>
      <c r="P312" s="67" t="str">
        <f t="shared" si="19"/>
        <v>DIANOSOL</v>
      </c>
      <c r="Q312" s="67" t="s">
        <v>904</v>
      </c>
      <c r="R312" s="7" t="str">
        <f>VLOOKUP($Q312,Resultados!$A$1:$B$49,2,FALSE)</f>
        <v>Juicio Abreviado</v>
      </c>
      <c r="S312" s="74">
        <v>0.33333333333333331</v>
      </c>
      <c r="T312" s="77" t="str">
        <f t="shared" si="20"/>
        <v>SI</v>
      </c>
      <c r="U312" s="77"/>
      <c r="V312" s="67"/>
      <c r="W312" s="74">
        <v>0.36458333333333331</v>
      </c>
      <c r="X312" s="67" t="s">
        <v>1658</v>
      </c>
      <c r="Y312" s="67"/>
      <c r="Z312" s="284" t="s">
        <v>359</v>
      </c>
      <c r="AA312" s="123" t="s">
        <v>743</v>
      </c>
      <c r="AB312" s="123" t="s">
        <v>1175</v>
      </c>
      <c r="AC312" s="361"/>
    </row>
    <row r="313" spans="1:29" ht="25.5">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t="shared" ca="1" si="18"/>
        <v>SI</v>
      </c>
      <c r="P313" s="67" t="str">
        <f t="shared" si="19"/>
        <v>DIANOSOL</v>
      </c>
      <c r="Q313" s="67" t="s">
        <v>151</v>
      </c>
      <c r="R313" s="7" t="str">
        <f>VLOOKUP($Q313,Resultados!$A$1:$B$49,2,FALSE)</f>
        <v>Prisión Preventiva</v>
      </c>
      <c r="S313" s="67" t="s">
        <v>1648</v>
      </c>
      <c r="T313" s="77" t="str">
        <f t="shared" si="20"/>
        <v>NO</v>
      </c>
      <c r="U313" s="77"/>
      <c r="V313" s="67"/>
      <c r="W313" s="67" t="s">
        <v>1340</v>
      </c>
      <c r="X313" s="67"/>
      <c r="Y313" s="67"/>
      <c r="Z313" s="123" t="s">
        <v>743</v>
      </c>
      <c r="AA313" s="123" t="s">
        <v>743</v>
      </c>
      <c r="AB313" s="123" t="s">
        <v>1173</v>
      </c>
      <c r="AC313" s="361"/>
    </row>
    <row r="314" spans="1:29" ht="38.25">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61"/>
    </row>
    <row r="315" spans="1:29" ht="76.5">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t="shared" ca="1" si="18"/>
        <v>SI</v>
      </c>
      <c r="P315" s="67" t="str">
        <f t="shared" si="19"/>
        <v>DIANOSOL</v>
      </c>
      <c r="Q315" s="67" t="s">
        <v>905</v>
      </c>
      <c r="R315" s="7" t="str">
        <f>VLOOKUP($Q315,Resultados!$A$1:$B$49,2,FALSE)</f>
        <v>Juicio Abreviado</v>
      </c>
      <c r="S315" s="67" t="s">
        <v>1234</v>
      </c>
      <c r="T315" s="77" t="str">
        <f t="shared" si="20"/>
        <v>NO</v>
      </c>
      <c r="U315" s="77"/>
      <c r="V315" s="67"/>
      <c r="W315" s="67" t="s">
        <v>1457</v>
      </c>
      <c r="X315" s="7"/>
      <c r="Y315" s="67"/>
      <c r="Z315" s="284" t="s">
        <v>1041</v>
      </c>
      <c r="AA315" s="123" t="s">
        <v>743</v>
      </c>
      <c r="AB315" s="284" t="s">
        <v>1174</v>
      </c>
      <c r="AC315" s="361"/>
    </row>
    <row r="316" spans="1:29" ht="51">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1655</v>
      </c>
      <c r="Y316" s="67"/>
      <c r="Z316" s="123" t="s">
        <v>1042</v>
      </c>
      <c r="AA316" s="123" t="s">
        <v>1170</v>
      </c>
      <c r="AB316" s="123" t="s">
        <v>1176</v>
      </c>
      <c r="AC316" s="361"/>
    </row>
    <row r="317" spans="1:29" ht="25.5">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61"/>
    </row>
    <row r="318" spans="1:29" ht="51">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t="shared" ca="1" si="18"/>
        <v>SI</v>
      </c>
      <c r="P318" s="67" t="str">
        <f t="shared" si="19"/>
        <v>DIANOSOL</v>
      </c>
      <c r="Q318" s="67" t="s">
        <v>904</v>
      </c>
      <c r="R318" s="7" t="str">
        <f>VLOOKUP($Q318,Resultados!$A$1:$B$49,2,FALSE)</f>
        <v>Juicio Abreviado</v>
      </c>
      <c r="S318" s="67" t="s">
        <v>1006</v>
      </c>
      <c r="T318" s="77" t="str">
        <f t="shared" si="20"/>
        <v>SI</v>
      </c>
      <c r="U318" s="77"/>
      <c r="V318" s="67"/>
      <c r="W318" s="67" t="s">
        <v>1298</v>
      </c>
      <c r="X318" s="67" t="s">
        <v>1651</v>
      </c>
      <c r="Y318" s="67"/>
      <c r="Z318" s="123" t="s">
        <v>1042</v>
      </c>
      <c r="AA318" s="123" t="s">
        <v>1170</v>
      </c>
      <c r="AB318" s="123" t="s">
        <v>1173</v>
      </c>
      <c r="AC318" s="361"/>
    </row>
    <row r="319" spans="1:29" ht="89.25">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t="shared" ca="1" si="18"/>
        <v>SI</v>
      </c>
      <c r="P319" s="67" t="str">
        <f t="shared" si="19"/>
        <v>DIANOSOL</v>
      </c>
      <c r="Q319" s="67" t="s">
        <v>905</v>
      </c>
      <c r="R319" s="7" t="str">
        <f>VLOOKUP($Q319,Resultados!$A$1:$B$49,2,FALSE)</f>
        <v>Juicio Abreviado</v>
      </c>
      <c r="S319" s="67" t="s">
        <v>1449</v>
      </c>
      <c r="T319" s="77" t="str">
        <f t="shared" si="20"/>
        <v>NO</v>
      </c>
      <c r="U319" s="77"/>
      <c r="V319" s="67"/>
      <c r="W319" s="67" t="s">
        <v>1444</v>
      </c>
      <c r="X319" s="67" t="s">
        <v>1657</v>
      </c>
      <c r="Y319" s="67"/>
      <c r="Z319" s="123" t="s">
        <v>770</v>
      </c>
      <c r="AA319" s="123" t="s">
        <v>743</v>
      </c>
      <c r="AB319" s="123" t="s">
        <v>1172</v>
      </c>
      <c r="AC319" s="361"/>
    </row>
    <row r="320" spans="1:29" ht="76.5">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t="shared" ca="1" si="18"/>
        <v>SI</v>
      </c>
      <c r="P320" s="83" t="str">
        <f t="shared" si="19"/>
        <v>DIANOSOL</v>
      </c>
      <c r="Q320" s="67" t="s">
        <v>1511</v>
      </c>
      <c r="R320" s="7" t="str">
        <f>VLOOKUP($Q320,Resultados!$A$1:$B$49,2,FALSE)</f>
        <v>Juicio Abreviado</v>
      </c>
      <c r="S320" s="74">
        <v>0.40277777777777773</v>
      </c>
      <c r="T320" s="86" t="str">
        <f t="shared" si="20"/>
        <v>NO</v>
      </c>
      <c r="U320" s="86"/>
      <c r="V320" s="83"/>
      <c r="W320" s="74">
        <v>0.4201388888888889</v>
      </c>
      <c r="X320" s="67" t="s">
        <v>1726</v>
      </c>
      <c r="Y320" s="67"/>
      <c r="Z320" s="284" t="s">
        <v>1042</v>
      </c>
      <c r="AA320" s="77"/>
      <c r="AB320" s="284"/>
      <c r="AC320" s="361"/>
    </row>
    <row r="321" spans="1:29" ht="51">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1739</v>
      </c>
      <c r="Y321" s="67"/>
      <c r="Z321" s="123" t="s">
        <v>748</v>
      </c>
      <c r="AA321" s="77"/>
      <c r="AB321" s="123"/>
      <c r="AC321" s="361"/>
    </row>
    <row r="322" spans="1:29" ht="51">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NO</v>
      </c>
      <c r="U322" s="77"/>
      <c r="V322" s="67"/>
      <c r="W322" s="67" t="s">
        <v>1737</v>
      </c>
      <c r="X322" s="155" t="s">
        <v>1310</v>
      </c>
      <c r="Y322" s="67"/>
      <c r="Z322" s="123" t="s">
        <v>1042</v>
      </c>
      <c r="AA322" s="77"/>
      <c r="AB322" s="77"/>
      <c r="AC322" s="361"/>
    </row>
    <row r="323" spans="1:29" ht="76.5">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1716</v>
      </c>
      <c r="T323" s="77" t="str">
        <f t="shared" si="20"/>
        <v>NO</v>
      </c>
      <c r="U323" s="77"/>
      <c r="V323" s="67"/>
      <c r="W323" s="74">
        <v>0.5</v>
      </c>
      <c r="X323" s="67"/>
      <c r="Y323" s="67"/>
      <c r="Z323" s="123" t="s">
        <v>748</v>
      </c>
      <c r="AA323" s="77"/>
      <c r="AB323" s="77"/>
      <c r="AC323" s="361"/>
    </row>
    <row r="324" spans="1:29" ht="38.25">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t="shared" ca="1" si="21"/>
        <v>SI</v>
      </c>
      <c r="P324" s="67" t="str">
        <f t="shared" si="22"/>
        <v>DIANOSOL</v>
      </c>
      <c r="Q324" s="67" t="s">
        <v>151</v>
      </c>
      <c r="R324" s="7" t="str">
        <f>VLOOKUP($Q324,Resultados!$A$1:$B$49,2,FALSE)</f>
        <v>Prisión Preventiva</v>
      </c>
      <c r="S324" s="67" t="s">
        <v>1715</v>
      </c>
      <c r="T324" s="77" t="str">
        <f t="shared" si="20"/>
        <v>SI</v>
      </c>
      <c r="U324" s="77"/>
      <c r="V324" s="67"/>
      <c r="W324" s="67" t="s">
        <v>1240</v>
      </c>
      <c r="X324" s="67" t="s">
        <v>1718</v>
      </c>
      <c r="Y324" s="67"/>
      <c r="Z324" s="123" t="s">
        <v>743</v>
      </c>
      <c r="AA324" s="77"/>
      <c r="AB324" s="77"/>
      <c r="AC324" s="361"/>
    </row>
    <row r="325" spans="1:29" ht="63.75">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1713</v>
      </c>
      <c r="X325" s="67" t="s">
        <v>1714</v>
      </c>
      <c r="Y325" s="67"/>
      <c r="Z325" s="123" t="s">
        <v>1042</v>
      </c>
      <c r="AA325" s="77"/>
      <c r="AB325" s="77"/>
      <c r="AC325" s="361"/>
    </row>
    <row r="326" spans="1:29" ht="5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t="shared" ca="1" si="21"/>
        <v>SI</v>
      </c>
      <c r="P326" s="67" t="str">
        <f t="shared" si="22"/>
        <v>DIANOSOL</v>
      </c>
      <c r="Q326" s="67" t="s">
        <v>151</v>
      </c>
      <c r="R326" s="7" t="str">
        <f>VLOOKUP($Q326,Resultados!$A$1:$B$49,2,FALSE)</f>
        <v>Prisión Preventiva</v>
      </c>
      <c r="S326" s="74">
        <v>0.39166666666666666</v>
      </c>
      <c r="T326" s="77" t="str">
        <f t="shared" si="20"/>
        <v>NO</v>
      </c>
      <c r="U326" s="77"/>
      <c r="V326" s="67"/>
      <c r="W326" s="67" t="s">
        <v>1599</v>
      </c>
      <c r="X326" s="67" t="s">
        <v>1755</v>
      </c>
      <c r="Y326" s="67"/>
      <c r="Z326" s="123" t="s">
        <v>748</v>
      </c>
      <c r="AA326" s="77"/>
      <c r="AB326" s="77"/>
      <c r="AC326" s="361"/>
    </row>
    <row r="327" spans="1:29" ht="5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61"/>
    </row>
    <row r="328" spans="1:29" ht="63.75">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t="shared" ca="1" si="21"/>
        <v>SI</v>
      </c>
      <c r="P328" s="67" t="str">
        <f t="shared" si="22"/>
        <v>DIANOSOL</v>
      </c>
      <c r="Q328" s="67" t="s">
        <v>904</v>
      </c>
      <c r="R328" s="7" t="str">
        <f>VLOOKUP($Q328,Resultados!$A$1:$B$49,2,FALSE)</f>
        <v>Juicio Abreviado</v>
      </c>
      <c r="S328" s="67" t="s">
        <v>1758</v>
      </c>
      <c r="T328" s="77" t="str">
        <f t="shared" si="20"/>
        <v>NO</v>
      </c>
      <c r="U328" s="77"/>
      <c r="V328" s="67"/>
      <c r="W328" s="67" t="s">
        <v>1188</v>
      </c>
      <c r="X328" s="67" t="s">
        <v>1759</v>
      </c>
      <c r="Y328" s="67"/>
      <c r="Z328" s="123" t="s">
        <v>1042</v>
      </c>
      <c r="AA328" s="77"/>
      <c r="AB328" s="77"/>
      <c r="AC328" s="361"/>
    </row>
    <row r="329" spans="1:29" ht="191.25">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t="shared" ca="1" si="21"/>
        <v>SI</v>
      </c>
      <c r="P329" s="67" t="str">
        <f t="shared" si="22"/>
        <v>DIANOSOL</v>
      </c>
      <c r="Q329" s="67" t="s">
        <v>1511</v>
      </c>
      <c r="R329" s="7" t="str">
        <f>VLOOKUP($Q329,Resultados!$A$1:$B$49,2,FALSE)</f>
        <v>Juicio Abreviado</v>
      </c>
      <c r="S329" s="67" t="s">
        <v>1786</v>
      </c>
      <c r="T329" s="77" t="str">
        <f t="shared" si="20"/>
        <v>NO</v>
      </c>
      <c r="U329" s="77"/>
      <c r="V329" s="67"/>
      <c r="W329" s="67" t="s">
        <v>1787</v>
      </c>
      <c r="X329" s="175" t="s">
        <v>1789</v>
      </c>
      <c r="Y329" s="67"/>
      <c r="Z329" s="123" t="s">
        <v>743</v>
      </c>
      <c r="AA329" s="77"/>
      <c r="AB329" s="77"/>
      <c r="AC329" s="361"/>
    </row>
    <row r="330" spans="1:29" ht="38.25">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1753</v>
      </c>
      <c r="Y330" s="67"/>
      <c r="Z330" s="123" t="s">
        <v>748</v>
      </c>
      <c r="AA330" s="77"/>
      <c r="AB330" s="77"/>
      <c r="AC330" s="361"/>
    </row>
    <row r="331" spans="1:29" ht="1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t="shared" ca="1" si="21"/>
        <v>SI</v>
      </c>
      <c r="P331" s="67" t="str">
        <f t="shared" si="22"/>
        <v>DIANOSOL</v>
      </c>
      <c r="Q331" s="67" t="s">
        <v>151</v>
      </c>
      <c r="R331" s="7" t="str">
        <f>VLOOKUP($Q331,Resultados!$A$1:$B$49,2,FALSE)</f>
        <v>Prisión Preventiva</v>
      </c>
      <c r="S331" s="74">
        <v>0.52916666666666667</v>
      </c>
      <c r="T331" s="77" t="str">
        <f t="shared" si="20"/>
        <v>SI</v>
      </c>
      <c r="U331" s="77"/>
      <c r="V331" s="67"/>
      <c r="W331" s="74">
        <v>0.55277777777777781</v>
      </c>
      <c r="X331" s="67"/>
      <c r="Y331" s="67"/>
      <c r="Z331" s="123" t="s">
        <v>743</v>
      </c>
      <c r="AA331" s="77"/>
      <c r="AB331" s="77"/>
      <c r="AC331" s="361"/>
    </row>
    <row r="332" spans="1:29" ht="38.25">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t="shared" ca="1" si="21"/>
        <v>SI</v>
      </c>
      <c r="P332" s="67" t="str">
        <f t="shared" si="22"/>
        <v>DIANOSOL</v>
      </c>
      <c r="Q332" s="67" t="s">
        <v>151</v>
      </c>
      <c r="R332" s="7" t="str">
        <f>VLOOKUP($Q332,Resultados!$A$1:$B$49,2,FALSE)</f>
        <v>Prisión Preventiva</v>
      </c>
      <c r="S332" s="67" t="s">
        <v>1240</v>
      </c>
      <c r="T332" s="77" t="str">
        <f t="shared" si="20"/>
        <v>NO</v>
      </c>
      <c r="U332" s="77"/>
      <c r="V332" s="67"/>
      <c r="W332" s="67" t="s">
        <v>1752</v>
      </c>
      <c r="X332" s="67"/>
      <c r="Y332" s="67"/>
      <c r="Z332" s="123" t="s">
        <v>1042</v>
      </c>
      <c r="AA332" s="77"/>
      <c r="AB332" s="77"/>
      <c r="AC332" s="361"/>
    </row>
    <row r="333" spans="1:29" ht="127.5">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1743</v>
      </c>
      <c r="Y333" s="67"/>
      <c r="Z333" s="77"/>
      <c r="AA333" s="77"/>
      <c r="AB333" s="77"/>
      <c r="AC333" s="361"/>
    </row>
    <row r="334" spans="1:29" ht="63.75">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1784</v>
      </c>
      <c r="X334" s="67"/>
      <c r="Y334" s="67"/>
      <c r="Z334" s="123" t="s">
        <v>748</v>
      </c>
      <c r="AA334" s="77"/>
      <c r="AB334" s="77"/>
      <c r="AC334" s="361"/>
    </row>
    <row r="335" spans="1:29" ht="51">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t="shared" ca="1" si="23"/>
        <v>SI</v>
      </c>
      <c r="P335" s="67" t="str">
        <f t="shared" si="22"/>
        <v>DIANOSOL</v>
      </c>
      <c r="Q335" s="67" t="s">
        <v>899</v>
      </c>
      <c r="R335" s="67" t="str">
        <f>VLOOKUP($Q335,Resultados!$A$1:$B$49,2,FALSE)</f>
        <v>Libertad</v>
      </c>
      <c r="S335" s="67" t="s">
        <v>1004</v>
      </c>
      <c r="T335" s="77" t="str">
        <f t="shared" si="20"/>
        <v>NO</v>
      </c>
      <c r="U335" s="77"/>
      <c r="V335" s="67"/>
      <c r="W335" s="67" t="s">
        <v>1242</v>
      </c>
      <c r="X335" s="67"/>
      <c r="Y335" s="67"/>
      <c r="Z335" s="123" t="s">
        <v>743</v>
      </c>
      <c r="AA335" s="77"/>
      <c r="AB335" s="123" t="s">
        <v>1746</v>
      </c>
      <c r="AC335" s="361"/>
    </row>
    <row r="336" spans="1:29" ht="63.75">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t="shared" ca="1" si="23"/>
        <v>SI</v>
      </c>
      <c r="P336" s="67" t="str">
        <f t="shared" si="22"/>
        <v>DIANOSOL</v>
      </c>
      <c r="Q336" s="67" t="s">
        <v>905</v>
      </c>
      <c r="R336" s="67" t="str">
        <f>VLOOKUP($Q336,Resultados!$A$1:$B$49,2,FALSE)</f>
        <v>Juicio Abreviado</v>
      </c>
      <c r="S336" s="74">
        <v>0.3972222222222222</v>
      </c>
      <c r="T336" s="77" t="str">
        <f t="shared" si="20"/>
        <v>SI</v>
      </c>
      <c r="U336" s="77"/>
      <c r="V336" s="67"/>
      <c r="W336" s="74">
        <v>0.40625</v>
      </c>
      <c r="X336" s="67" t="s">
        <v>1764</v>
      </c>
      <c r="Y336" s="67"/>
      <c r="Z336" s="123" t="s">
        <v>1042</v>
      </c>
      <c r="AA336" s="77"/>
      <c r="AB336" s="123" t="s">
        <v>1747</v>
      </c>
      <c r="AC336" s="361"/>
    </row>
    <row r="337" spans="1:29" ht="63.75">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t="shared" ca="1" si="23"/>
        <v>SI</v>
      </c>
      <c r="P337" s="67" t="str">
        <f t="shared" si="22"/>
        <v>DIANOSOL</v>
      </c>
      <c r="Q337" s="67" t="s">
        <v>905</v>
      </c>
      <c r="R337" s="67" t="str">
        <f>VLOOKUP($Q337,Resultados!$A$1:$B$49,2,FALSE)</f>
        <v>Juicio Abreviado</v>
      </c>
      <c r="S337" s="67" t="s">
        <v>1449</v>
      </c>
      <c r="T337" s="77" t="str">
        <f t="shared" si="20"/>
        <v>NO</v>
      </c>
      <c r="U337" s="77"/>
      <c r="V337" s="67"/>
      <c r="W337" s="67" t="s">
        <v>1781</v>
      </c>
      <c r="X337" s="67"/>
      <c r="Y337" s="67"/>
      <c r="Z337" s="123" t="s">
        <v>748</v>
      </c>
      <c r="AA337" s="77"/>
      <c r="AB337" s="123" t="s">
        <v>1748</v>
      </c>
      <c r="AC337" s="361"/>
    </row>
    <row r="338" spans="1:29" ht="38.25">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61"/>
    </row>
    <row r="339" spans="1:29" ht="76.5">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t="shared" ca="1" si="23"/>
        <v>SI</v>
      </c>
      <c r="P339" s="67" t="str">
        <f t="shared" si="22"/>
        <v>DIANOSOL</v>
      </c>
      <c r="Q339" s="67" t="s">
        <v>905</v>
      </c>
      <c r="R339" s="67" t="str">
        <f>VLOOKUP($Q339,Resultados!$A$1:$B$49,2,FALSE)</f>
        <v>Juicio Abreviado</v>
      </c>
      <c r="S339" s="74">
        <v>0.4916666666666667</v>
      </c>
      <c r="T339" s="77" t="str">
        <f t="shared" si="20"/>
        <v>NO</v>
      </c>
      <c r="U339" s="77"/>
      <c r="V339" s="67"/>
      <c r="W339" s="74">
        <v>0.5083333333333333</v>
      </c>
      <c r="X339" s="67" t="s">
        <v>1777</v>
      </c>
      <c r="Y339" s="67"/>
      <c r="Z339" s="123" t="s">
        <v>1042</v>
      </c>
      <c r="AA339" s="77"/>
      <c r="AB339" s="123" t="s">
        <v>1749</v>
      </c>
      <c r="AC339" s="361"/>
    </row>
    <row r="340" spans="1:29" ht="63.75">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1779</v>
      </c>
      <c r="X340" s="67"/>
      <c r="Y340" s="67"/>
      <c r="Z340" s="123" t="s">
        <v>748</v>
      </c>
      <c r="AA340" s="77"/>
      <c r="AB340" s="77"/>
      <c r="AC340" s="361"/>
    </row>
    <row r="341" spans="1:29" ht="63.75">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t="shared" ca="1" si="23"/>
        <v>SI</v>
      </c>
      <c r="P341" s="67" t="str">
        <f t="shared" si="22"/>
        <v>DIANOSOL</v>
      </c>
      <c r="Q341" s="67" t="s">
        <v>904</v>
      </c>
      <c r="R341" s="67" t="str">
        <f>VLOOKUP($Q341,Resultados!$A$1:$B$49,2,FALSE)</f>
        <v>Juicio Abreviado</v>
      </c>
      <c r="S341" s="67" t="s">
        <v>1772</v>
      </c>
      <c r="T341" s="77" t="str">
        <f t="shared" si="20"/>
        <v>NO</v>
      </c>
      <c r="U341" s="77"/>
      <c r="V341" s="67"/>
      <c r="W341" s="67" t="s">
        <v>1773</v>
      </c>
      <c r="X341" s="67" t="s">
        <v>1775</v>
      </c>
      <c r="Y341" s="67"/>
      <c r="Z341" s="123" t="s">
        <v>743</v>
      </c>
      <c r="AA341" s="77"/>
      <c r="AB341" s="77"/>
      <c r="AC341" s="361"/>
    </row>
    <row r="342" spans="1:29" ht="38.25">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1800</v>
      </c>
      <c r="T342" s="77" t="str">
        <f t="shared" si="20"/>
        <v>NO</v>
      </c>
      <c r="U342" s="77"/>
      <c r="V342" s="67"/>
      <c r="W342" s="67" t="s">
        <v>1244</v>
      </c>
      <c r="X342" s="67" t="s">
        <v>1801</v>
      </c>
      <c r="Y342" s="67"/>
      <c r="Z342" s="123" t="s">
        <v>1042</v>
      </c>
      <c r="AA342" s="77"/>
      <c r="AB342" s="77"/>
      <c r="AC342" s="361"/>
    </row>
    <row r="343" spans="1:29" ht="25.5">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1805</v>
      </c>
      <c r="X343" s="67"/>
      <c r="Y343" s="67"/>
      <c r="Z343" s="123" t="s">
        <v>748</v>
      </c>
      <c r="AA343" s="77"/>
      <c r="AB343" s="77"/>
      <c r="AC343" s="361"/>
    </row>
    <row r="344" spans="1:29" ht="38.25">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NO</v>
      </c>
      <c r="U344" s="77"/>
      <c r="V344" s="67"/>
      <c r="W344" s="67" t="s">
        <v>1449</v>
      </c>
      <c r="X344" s="67"/>
      <c r="Y344" s="67"/>
      <c r="Z344" s="123" t="s">
        <v>743</v>
      </c>
      <c r="AA344" s="77"/>
      <c r="AB344" s="77"/>
      <c r="AC344" s="361"/>
    </row>
    <row r="345" spans="1:29" ht="38.25">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1804</v>
      </c>
      <c r="X345" s="67"/>
      <c r="Y345" s="67"/>
      <c r="Z345" s="123" t="s">
        <v>1042</v>
      </c>
      <c r="AA345" s="77"/>
      <c r="AB345" s="77"/>
      <c r="AC345" s="361"/>
    </row>
    <row r="346" spans="1:29" ht="38.25">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t="shared" ca="1" si="23"/>
        <v>SI</v>
      </c>
      <c r="P346" s="67" t="str">
        <f t="shared" si="22"/>
        <v>DIANOSOL</v>
      </c>
      <c r="Q346" s="67" t="s">
        <v>151</v>
      </c>
      <c r="R346" s="67" t="str">
        <f>VLOOKUP($Q346,Resultados!$A$1:$B$49,2,FALSE)</f>
        <v>Prisión Preventiva</v>
      </c>
      <c r="S346" s="67" t="s">
        <v>1737</v>
      </c>
      <c r="T346" s="77" t="str">
        <f t="shared" si="20"/>
        <v>NO</v>
      </c>
      <c r="U346" s="77"/>
      <c r="V346" s="67"/>
      <c r="W346" s="67" t="s">
        <v>1803</v>
      </c>
      <c r="X346" s="67"/>
      <c r="Y346" s="67"/>
      <c r="Z346" s="123" t="s">
        <v>748</v>
      </c>
      <c r="AA346" s="77"/>
      <c r="AB346" s="77"/>
      <c r="AC346" s="361"/>
    </row>
    <row r="347" spans="1:29" ht="38.25">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t="shared" ca="1" si="23"/>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1825</v>
      </c>
      <c r="Y347" s="67"/>
      <c r="Z347" s="123" t="s">
        <v>743</v>
      </c>
      <c r="AA347" s="77"/>
      <c r="AB347" s="77"/>
      <c r="AC347" s="361"/>
    </row>
    <row r="348" spans="1:29" ht="1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1828</v>
      </c>
      <c r="Y348" s="67"/>
      <c r="Z348" s="123" t="s">
        <v>1042</v>
      </c>
      <c r="AA348" s="77"/>
      <c r="AB348" s="77"/>
      <c r="AC348" s="361"/>
    </row>
    <row r="349" spans="1:29" ht="127.5">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t="shared" ca="1" si="23"/>
        <v>SI</v>
      </c>
      <c r="P349" s="67" t="str">
        <f t="shared" si="22"/>
        <v>DIANOSOL</v>
      </c>
      <c r="Q349" s="67" t="s">
        <v>1511</v>
      </c>
      <c r="R349" s="67" t="str">
        <f>VLOOKUP($Q349,Resultados!$A$1:$B$49,2,FALSE)</f>
        <v>Juicio Abreviado</v>
      </c>
      <c r="S349" s="74">
        <v>0.41041666666666665</v>
      </c>
      <c r="T349" s="77" t="str">
        <f t="shared" si="20"/>
        <v>NO</v>
      </c>
      <c r="U349" s="77"/>
      <c r="V349" s="67"/>
      <c r="W349" s="74">
        <v>0.42569444444444443</v>
      </c>
      <c r="X349" s="155"/>
      <c r="Y349" s="67"/>
      <c r="Z349" s="123" t="s">
        <v>748</v>
      </c>
      <c r="AA349" s="77"/>
      <c r="AB349" s="77"/>
      <c r="AC349" s="361"/>
    </row>
    <row r="350" spans="1:29" ht="89.25">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t="shared" ca="1" si="23"/>
        <v>SI</v>
      </c>
      <c r="P350" s="67" t="str">
        <f t="shared" si="22"/>
        <v>DIANOSOL</v>
      </c>
      <c r="Q350" s="67" t="s">
        <v>151</v>
      </c>
      <c r="R350" s="67" t="str">
        <f>VLOOKUP($Q350,Resultados!$A$1:$B$49,2,FALSE)</f>
        <v>Prisión Preventiva</v>
      </c>
      <c r="S350" s="74">
        <v>0.38819444444444445</v>
      </c>
      <c r="T350" s="77" t="str">
        <f t="shared" si="20"/>
        <v>SI</v>
      </c>
      <c r="U350" s="77"/>
      <c r="V350" s="67"/>
      <c r="W350" s="74">
        <v>0.41597222222222219</v>
      </c>
      <c r="X350" s="182" t="s">
        <v>1830</v>
      </c>
      <c r="Y350" s="67"/>
      <c r="Z350" s="123" t="s">
        <v>743</v>
      </c>
      <c r="AA350" s="77"/>
      <c r="AB350" s="77"/>
      <c r="AC350" s="361"/>
    </row>
    <row r="351" spans="1:29" ht="5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61"/>
    </row>
    <row r="352" spans="1:29" ht="76.5">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3" t="s">
        <v>748</v>
      </c>
      <c r="AA352" s="77"/>
      <c r="AB352" s="77"/>
      <c r="AC352" s="361"/>
    </row>
    <row r="353" spans="1:29" ht="38.25">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61"/>
    </row>
    <row r="354" spans="1:29" ht="63.75">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t="shared" ca="1" si="23"/>
        <v>SI</v>
      </c>
      <c r="P354" s="67" t="str">
        <f t="shared" si="22"/>
        <v>DIANOSOL</v>
      </c>
      <c r="Q354" s="67" t="s">
        <v>905</v>
      </c>
      <c r="R354" s="67" t="str">
        <f>VLOOKUP($Q354,Resultados!$A$1:$B$49,2,FALSE)</f>
        <v>Juicio Abreviado</v>
      </c>
      <c r="S354" s="74">
        <v>0.4368055555555555</v>
      </c>
      <c r="T354" s="77" t="str">
        <f t="shared" si="20"/>
        <v>NO</v>
      </c>
      <c r="U354" s="77"/>
      <c r="V354" s="67"/>
      <c r="W354" s="74">
        <v>0.4513888888888889</v>
      </c>
      <c r="X354" s="67"/>
      <c r="Y354" s="67"/>
      <c r="Z354" s="123" t="s">
        <v>743</v>
      </c>
      <c r="AA354" s="77"/>
      <c r="AB354" s="77"/>
      <c r="AC354" s="361"/>
    </row>
    <row r="355" spans="1:29" ht="63.75">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61"/>
    </row>
    <row r="356" spans="1:29" ht="51">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1850</v>
      </c>
      <c r="Y356" s="67"/>
      <c r="Z356" s="123" t="s">
        <v>1042</v>
      </c>
      <c r="AA356" s="77"/>
      <c r="AB356" s="77"/>
      <c r="AC356" s="361"/>
    </row>
    <row r="357" spans="1:29" ht="63.75">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t="shared" ca="1" si="23"/>
        <v>SI</v>
      </c>
      <c r="P357" s="67" t="str">
        <f t="shared" si="22"/>
        <v>DIANOSOL</v>
      </c>
      <c r="Q357" s="67" t="s">
        <v>904</v>
      </c>
      <c r="R357" s="67" t="str">
        <f>VLOOKUP($Q357,Resultados!$A$1:$B$49,2,FALSE)</f>
        <v>Juicio Abreviado</v>
      </c>
      <c r="S357" s="74">
        <v>0.41041666666666665</v>
      </c>
      <c r="T357" s="77" t="str">
        <f t="shared" si="20"/>
        <v>SI</v>
      </c>
      <c r="U357" s="77"/>
      <c r="V357" s="67"/>
      <c r="W357" s="74">
        <v>0.4201388888888889</v>
      </c>
      <c r="X357" s="67" t="s">
        <v>1839</v>
      </c>
      <c r="Y357" s="67"/>
      <c r="Z357" s="123" t="s">
        <v>770</v>
      </c>
      <c r="AA357" s="77"/>
      <c r="AB357" s="77"/>
      <c r="AC357" s="361"/>
    </row>
    <row r="358" spans="1:29" ht="76.5">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70" t="s">
        <v>1844</v>
      </c>
      <c r="Y358" s="67"/>
      <c r="Z358" s="123" t="s">
        <v>1846</v>
      </c>
      <c r="AA358" s="77"/>
      <c r="AB358" s="77"/>
      <c r="AC358" s="361"/>
    </row>
    <row r="359" spans="1:29" ht="63.75">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1840</v>
      </c>
      <c r="Y359" s="67"/>
      <c r="Z359" s="123" t="s">
        <v>1042</v>
      </c>
      <c r="AA359" s="77"/>
      <c r="AB359" s="77"/>
      <c r="AC359" s="361"/>
    </row>
    <row r="360" spans="1:29" ht="51">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61"/>
    </row>
    <row r="361" spans="1:29" ht="63.75">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61"/>
    </row>
    <row r="362" spans="1:29" ht="25.5">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1861</v>
      </c>
      <c r="Y362" s="67"/>
      <c r="Z362" s="123" t="s">
        <v>770</v>
      </c>
      <c r="AA362" s="123"/>
      <c r="AB362" s="77"/>
      <c r="AC362" s="361"/>
    </row>
    <row r="363" spans="1:29" ht="76.5">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61"/>
    </row>
    <row r="364" spans="1:29" ht="51">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1856</v>
      </c>
      <c r="Y364" s="67"/>
      <c r="Z364" s="123" t="s">
        <v>1042</v>
      </c>
      <c r="AA364" s="123"/>
      <c r="AB364" s="77"/>
      <c r="AC364" s="361"/>
    </row>
    <row r="365" spans="1:29" ht="63.75">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1858</v>
      </c>
      <c r="Y365" s="67"/>
      <c r="Z365" s="123" t="s">
        <v>1042</v>
      </c>
      <c r="AA365" s="123"/>
      <c r="AB365" s="77"/>
      <c r="AC365" s="361"/>
    </row>
    <row r="366" spans="1:29" ht="89.25">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t="shared" ca="1" si="23"/>
        <v>SI</v>
      </c>
      <c r="P366" s="67" t="str">
        <f t="shared" si="22"/>
        <v>DIANOSOL</v>
      </c>
      <c r="Q366" s="67" t="s">
        <v>151</v>
      </c>
      <c r="R366" s="67" t="str">
        <f>VLOOKUP($Q366,Resultados!$A$1:$B$49,2,FALSE)</f>
        <v>Prisión Preventiva</v>
      </c>
      <c r="S366" s="67"/>
      <c r="T366" s="77" t="str">
        <f t="shared" si="24"/>
        <v>SI</v>
      </c>
      <c r="U366" s="77"/>
      <c r="V366" s="67"/>
      <c r="W366" s="67"/>
      <c r="X366" s="67"/>
      <c r="Y366" s="67"/>
      <c r="Z366" s="123" t="s">
        <v>1870</v>
      </c>
      <c r="AA366" s="123"/>
      <c r="AB366" s="77"/>
      <c r="AC366" s="361"/>
    </row>
    <row r="367" spans="1:29" ht="127.5">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t="shared" ca="1" si="23"/>
        <v>SI</v>
      </c>
      <c r="P367" s="67" t="str">
        <f t="shared" si="22"/>
        <v>DIANOSOL</v>
      </c>
      <c r="Q367" s="67" t="s">
        <v>1511</v>
      </c>
      <c r="R367" s="67" t="str">
        <f>VLOOKUP($Q367,Resultados!$A$1:$B$49,2,FALSE)</f>
        <v>Juicio Abreviado</v>
      </c>
      <c r="S367" s="67" t="s">
        <v>1781</v>
      </c>
      <c r="T367" s="77" t="str">
        <f t="shared" si="24"/>
        <v>NO</v>
      </c>
      <c r="U367" s="77"/>
      <c r="V367" s="67"/>
      <c r="W367" s="74">
        <v>0.44930555555555557</v>
      </c>
      <c r="X367" s="67"/>
      <c r="Y367" s="67"/>
      <c r="Z367" s="123" t="s">
        <v>1042</v>
      </c>
      <c r="AA367" s="77"/>
      <c r="AB367" s="77"/>
      <c r="AC367" s="361"/>
    </row>
    <row r="368" spans="1:29" ht="89.25">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1894</v>
      </c>
      <c r="Y368" s="67"/>
      <c r="Z368" s="123" t="s">
        <v>1869</v>
      </c>
      <c r="AA368" s="335"/>
      <c r="AB368" s="77"/>
      <c r="AC368" s="361"/>
    </row>
    <row r="369" spans="1:29" ht="51">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1891</v>
      </c>
      <c r="Y369" s="67"/>
      <c r="Z369" s="123" t="s">
        <v>1846</v>
      </c>
      <c r="AA369" s="77"/>
      <c r="AB369" s="77"/>
      <c r="AC369" s="361"/>
    </row>
    <row r="370" spans="1:29" ht="76.5">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1869</v>
      </c>
      <c r="AA370" s="77"/>
      <c r="AB370" s="77"/>
      <c r="AC370" s="361"/>
    </row>
    <row r="371" spans="1:29" ht="1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61"/>
    </row>
    <row r="372" spans="1:29" ht="51">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1903</v>
      </c>
      <c r="Y372" s="67"/>
      <c r="Z372" s="123" t="s">
        <v>1042</v>
      </c>
      <c r="AA372" s="77"/>
      <c r="AB372" s="77"/>
      <c r="AC372" s="361"/>
    </row>
    <row r="373" spans="1:29" ht="127.5">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1898</v>
      </c>
      <c r="Y373" s="67"/>
      <c r="Z373" s="123" t="s">
        <v>770</v>
      </c>
      <c r="AA373" s="77"/>
      <c r="AB373" s="77"/>
      <c r="AC373" s="361"/>
    </row>
    <row r="374" spans="1:29" ht="51">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t="shared" ca="1" si="23"/>
        <v>SI</v>
      </c>
      <c r="P374" s="67" t="str">
        <f t="shared" si="22"/>
        <v>DIANOSOL</v>
      </c>
      <c r="Q374" s="67" t="s">
        <v>1900</v>
      </c>
      <c r="R374" s="67" t="str">
        <f>VLOOKUP($Q374,Resultados!$A$1:$B$49,2,FALSE)</f>
        <v>Sobreseimiento</v>
      </c>
      <c r="S374" s="74">
        <v>0.4375</v>
      </c>
      <c r="T374" s="77" t="str">
        <f t="shared" si="24"/>
        <v>NO</v>
      </c>
      <c r="U374" s="77"/>
      <c r="V374" s="67"/>
      <c r="W374" s="74">
        <v>0.5</v>
      </c>
      <c r="X374" s="175" t="s">
        <v>1901</v>
      </c>
      <c r="Y374" s="67"/>
      <c r="Z374" s="123" t="s">
        <v>1042</v>
      </c>
      <c r="AA374" s="77"/>
      <c r="AB374" s="77"/>
      <c r="AC374" s="361"/>
    </row>
    <row r="375" spans="1:29" ht="76.5">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t="shared" ca="1" si="23"/>
        <v>SI</v>
      </c>
      <c r="P375" s="67" t="str">
        <f t="shared" si="22"/>
        <v>DIANOSOL</v>
      </c>
      <c r="Q375" s="67" t="s">
        <v>904</v>
      </c>
      <c r="R375" s="67" t="str">
        <f>VLOOKUP($Q375,Resultados!$A$1:$B$49,2,FALSE)</f>
        <v>Juicio Abreviado</v>
      </c>
      <c r="S375" s="74">
        <v>0.52777777777777779</v>
      </c>
      <c r="T375" s="77" t="str">
        <f t="shared" si="24"/>
        <v>SI</v>
      </c>
      <c r="U375" s="77"/>
      <c r="V375" s="67"/>
      <c r="W375" s="74">
        <v>0.53333333333333333</v>
      </c>
      <c r="X375" s="155" t="s">
        <v>1896</v>
      </c>
      <c r="Y375" s="67"/>
      <c r="Z375" s="123" t="s">
        <v>770</v>
      </c>
      <c r="AA375" s="77"/>
      <c r="AB375" s="77"/>
      <c r="AC375" s="361"/>
    </row>
    <row r="376" spans="1:29" ht="25.5">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1911</v>
      </c>
      <c r="Y376" s="67"/>
      <c r="Z376" s="123" t="s">
        <v>770</v>
      </c>
      <c r="AA376" s="77"/>
      <c r="AB376" s="77"/>
      <c r="AC376" s="361"/>
    </row>
    <row r="377" spans="1:29" ht="51">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t="shared" ca="1" si="23"/>
        <v>SI</v>
      </c>
      <c r="P377" s="67" t="str">
        <f t="shared" si="22"/>
        <v>DIANOSOL</v>
      </c>
      <c r="Q377" s="67" t="s">
        <v>151</v>
      </c>
      <c r="R377" s="67" t="str">
        <f>VLOOKUP($Q377,Resultados!$A$1:$B$49,2,FALSE)</f>
        <v>Prisión Preventiva</v>
      </c>
      <c r="S377" s="67" t="s">
        <v>1912</v>
      </c>
      <c r="T377" s="77" t="str">
        <f t="shared" si="24"/>
        <v>NO</v>
      </c>
      <c r="U377" s="77"/>
      <c r="V377" s="67"/>
      <c r="W377" s="67" t="s">
        <v>1239</v>
      </c>
      <c r="X377" s="67" t="s">
        <v>1913</v>
      </c>
      <c r="Y377" s="67"/>
      <c r="Z377" s="123" t="s">
        <v>1042</v>
      </c>
      <c r="AA377" s="77"/>
      <c r="AB377" s="77"/>
      <c r="AC377" s="361"/>
    </row>
    <row r="378" spans="1:29" ht="38.25">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t="shared" ca="1" si="23"/>
        <v>SI</v>
      </c>
      <c r="P378" s="67" t="str">
        <f t="shared" si="22"/>
        <v>DIANOSOL</v>
      </c>
      <c r="Q378" s="67" t="s">
        <v>151</v>
      </c>
      <c r="R378" s="67" t="str">
        <f>VLOOKUP($Q378,Resultados!$A$1:$B$49,2,FALSE)</f>
        <v>Prisión Preventiva</v>
      </c>
      <c r="S378" s="67" t="s">
        <v>1914</v>
      </c>
      <c r="T378" s="77" t="str">
        <f t="shared" si="24"/>
        <v>NO</v>
      </c>
      <c r="U378" s="77"/>
      <c r="V378" s="67"/>
      <c r="W378" s="67" t="s">
        <v>1915</v>
      </c>
      <c r="X378" s="67" t="s">
        <v>1916</v>
      </c>
      <c r="Y378" s="67"/>
      <c r="Z378" s="123" t="s">
        <v>770</v>
      </c>
      <c r="AA378" s="77"/>
      <c r="AB378" s="77"/>
      <c r="AC378" s="361"/>
    </row>
    <row r="379" spans="1:29" ht="51">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1713</v>
      </c>
      <c r="X379" s="67" t="s">
        <v>1753</v>
      </c>
      <c r="Y379" s="67"/>
      <c r="Z379" s="123" t="s">
        <v>1917</v>
      </c>
      <c r="AA379" s="77"/>
      <c r="AB379" s="77"/>
      <c r="AC379" s="361"/>
    </row>
    <row r="380" spans="1:29" ht="114.75">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t="shared" ca="1" si="23"/>
        <v>SI</v>
      </c>
      <c r="P380" s="67" t="str">
        <f t="shared" si="22"/>
        <v>DIANOSOL</v>
      </c>
      <c r="Q380" s="67" t="s">
        <v>950</v>
      </c>
      <c r="R380" s="67" t="str">
        <f>VLOOKUP($Q380,Resultados!$A$1:$B$49,2,FALSE)</f>
        <v>Prision domiciliaria</v>
      </c>
      <c r="S380" s="74" t="s">
        <v>1561</v>
      </c>
      <c r="T380" s="77" t="str">
        <f t="shared" si="24"/>
        <v>NO</v>
      </c>
      <c r="U380" s="77"/>
      <c r="V380" s="67"/>
      <c r="W380" s="74" t="s">
        <v>989</v>
      </c>
      <c r="X380" s="67" t="s">
        <v>1923</v>
      </c>
      <c r="Y380" s="67"/>
      <c r="Z380" s="123" t="s">
        <v>770</v>
      </c>
      <c r="AA380" s="77"/>
      <c r="AB380" s="77"/>
      <c r="AC380" s="361"/>
    </row>
    <row r="381" spans="1:29" ht="38.25">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61"/>
    </row>
    <row r="382" spans="1:29" ht="38.25">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t="shared" ca="1" si="23"/>
        <v>SI</v>
      </c>
      <c r="P382" s="67" t="str">
        <f t="shared" si="22"/>
        <v>DIANOSOL</v>
      </c>
      <c r="Q382" s="67" t="s">
        <v>151</v>
      </c>
      <c r="R382" s="67" t="str">
        <f>VLOOKUP($Q382,Resultados!$A$1:$B$49,2,FALSE)</f>
        <v>Prisión Preventiva</v>
      </c>
      <c r="S382" s="67" t="s">
        <v>1919</v>
      </c>
      <c r="T382" s="77" t="str">
        <f t="shared" si="24"/>
        <v>SI</v>
      </c>
      <c r="U382" s="77"/>
      <c r="V382" s="67"/>
      <c r="W382" s="67" t="s">
        <v>1920</v>
      </c>
      <c r="X382" s="67" t="s">
        <v>1922</v>
      </c>
      <c r="Y382" s="67"/>
      <c r="Z382" s="123" t="s">
        <v>1042</v>
      </c>
      <c r="AA382" s="77"/>
      <c r="AB382" s="77"/>
      <c r="AC382" s="361"/>
    </row>
    <row r="383" spans="1:29" ht="38.25">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1954</v>
      </c>
      <c r="Y383" s="67"/>
      <c r="Z383" s="123" t="s">
        <v>1042</v>
      </c>
      <c r="AA383" s="123" t="s">
        <v>1170</v>
      </c>
      <c r="AB383" s="123" t="s">
        <v>1174</v>
      </c>
      <c r="AC383" s="361"/>
    </row>
    <row r="384" spans="1:29" ht="38.25">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1953</v>
      </c>
      <c r="Y384" s="67"/>
      <c r="Z384" s="123" t="s">
        <v>743</v>
      </c>
      <c r="AA384" s="123" t="s">
        <v>1168</v>
      </c>
      <c r="AB384" s="123" t="s">
        <v>1175</v>
      </c>
      <c r="AC384" s="361"/>
    </row>
    <row r="385" spans="1:29" ht="38.25">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t="shared" ca="1" si="23"/>
        <v>SI</v>
      </c>
      <c r="P385" s="67" t="str">
        <f t="shared" si="22"/>
        <v>DIANOSOL</v>
      </c>
      <c r="Q385" s="67" t="s">
        <v>151</v>
      </c>
      <c r="R385" s="67" t="str">
        <f>VLOOKUP($Q385,Resultados!$A$1:$B$49,2,FALSE)</f>
        <v>Prisión Preventiva</v>
      </c>
      <c r="S385" s="74">
        <v>0.34027777777777773</v>
      </c>
      <c r="T385" s="77" t="str">
        <f t="shared" si="24"/>
        <v>NO</v>
      </c>
      <c r="U385" s="77"/>
      <c r="V385" s="67"/>
      <c r="W385" s="74">
        <v>0.34791666666666665</v>
      </c>
      <c r="X385" s="67"/>
      <c r="Y385" s="67"/>
      <c r="Z385" s="123" t="s">
        <v>770</v>
      </c>
      <c r="AA385" s="123" t="s">
        <v>1170</v>
      </c>
      <c r="AB385" s="284" t="s">
        <v>1173</v>
      </c>
      <c r="AC385" s="361"/>
    </row>
    <row r="386" spans="1:29" ht="39.950000000000003" customHeight="1">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1955</v>
      </c>
      <c r="Y386" s="67"/>
      <c r="Z386" s="123" t="s">
        <v>1042</v>
      </c>
      <c r="AA386" s="123" t="s">
        <v>1168</v>
      </c>
      <c r="AB386" s="123" t="s">
        <v>1172</v>
      </c>
      <c r="AC386" s="361"/>
    </row>
    <row r="387" spans="1:29" ht="39.950000000000003" customHeight="1">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1952</v>
      </c>
      <c r="Y387" s="67"/>
      <c r="Z387" s="123" t="s">
        <v>1041</v>
      </c>
      <c r="AA387" s="123" t="s">
        <v>743</v>
      </c>
      <c r="AB387" s="123" t="s">
        <v>1176</v>
      </c>
      <c r="AC387" s="361"/>
    </row>
    <row r="388" spans="1:29" ht="39.950000000000003" customHeight="1">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t="shared" ca="1" si="23"/>
        <v>SI</v>
      </c>
      <c r="P388" s="67" t="str">
        <f t="shared" si="25"/>
        <v>DIANOSOL</v>
      </c>
      <c r="Q388" s="67" t="s">
        <v>151</v>
      </c>
      <c r="R388" s="67" t="str">
        <f>VLOOKUP($Q388,Resultados!$A$1:$B$49,2,FALSE)</f>
        <v>Prisión Preventiva</v>
      </c>
      <c r="S388" s="67" t="s">
        <v>1974</v>
      </c>
      <c r="T388" s="77" t="str">
        <f t="shared" si="24"/>
        <v>NO</v>
      </c>
      <c r="U388" s="77"/>
      <c r="V388" s="67"/>
      <c r="W388" s="74">
        <v>0.40486111111111112</v>
      </c>
      <c r="X388" s="67"/>
      <c r="Y388" s="67"/>
      <c r="Z388" s="123" t="s">
        <v>748</v>
      </c>
      <c r="AA388" s="123" t="s">
        <v>1170</v>
      </c>
      <c r="AB388" s="123" t="s">
        <v>1174</v>
      </c>
      <c r="AC388" s="361"/>
    </row>
    <row r="389" spans="1:29" ht="39.950000000000003" customHeight="1">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t="shared" ca="1" si="23"/>
        <v>SI</v>
      </c>
      <c r="P389" s="67" t="str">
        <f t="shared" si="25"/>
        <v>DIANOSOL</v>
      </c>
      <c r="Q389" s="67" t="s">
        <v>151</v>
      </c>
      <c r="R389" s="67" t="str">
        <f>VLOOKUP($Q389,Resultados!$A$1:$B$49,2,FALSE)</f>
        <v>Prisión Preventiva</v>
      </c>
      <c r="S389" s="74">
        <v>0.37083333333333335</v>
      </c>
      <c r="T389" s="77" t="str">
        <f t="shared" si="24"/>
        <v>NO</v>
      </c>
      <c r="U389" s="77"/>
      <c r="V389" s="67"/>
      <c r="W389" s="74">
        <v>0.39027777777777778</v>
      </c>
      <c r="X389" s="67" t="s">
        <v>1973</v>
      </c>
      <c r="Y389" s="67"/>
      <c r="Z389" s="123" t="s">
        <v>743</v>
      </c>
      <c r="AA389" s="123" t="s">
        <v>743</v>
      </c>
      <c r="AB389" s="123" t="s">
        <v>1176</v>
      </c>
      <c r="AC389" s="361"/>
    </row>
    <row r="390" spans="1:29" ht="39.950000000000003" customHeight="1">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t="shared" ca="1" si="23"/>
        <v>SI</v>
      </c>
      <c r="P390" s="67" t="str">
        <f t="shared" si="25"/>
        <v>DIANOSOL</v>
      </c>
      <c r="Q390" s="67" t="s">
        <v>905</v>
      </c>
      <c r="R390" s="67" t="str">
        <f>VLOOKUP($Q390,Resultados!$A$1:$B$49,2,FALSE)</f>
        <v>Juicio Abreviado</v>
      </c>
      <c r="S390" s="67" t="s">
        <v>1018</v>
      </c>
      <c r="T390" s="77" t="str">
        <f t="shared" si="24"/>
        <v>NO</v>
      </c>
      <c r="U390" s="77"/>
      <c r="V390" s="67"/>
      <c r="W390" s="67" t="s">
        <v>1004</v>
      </c>
      <c r="X390" s="67" t="s">
        <v>1966</v>
      </c>
      <c r="Y390" s="67"/>
      <c r="Z390" s="123" t="s">
        <v>1042</v>
      </c>
      <c r="AA390" s="123" t="s">
        <v>743</v>
      </c>
      <c r="AB390" s="123" t="s">
        <v>1172</v>
      </c>
      <c r="AC390" s="361"/>
    </row>
    <row r="391" spans="1:29" ht="39.950000000000003" customHeight="1">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61"/>
    </row>
    <row r="392" spans="1:29" ht="39.950000000000003" customHeight="1">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1981</v>
      </c>
      <c r="Y392" s="67"/>
      <c r="Z392" s="123" t="s">
        <v>748</v>
      </c>
      <c r="AA392" s="123" t="s">
        <v>1170</v>
      </c>
      <c r="AB392" s="123" t="s">
        <v>1174</v>
      </c>
      <c r="AC392" s="361"/>
    </row>
    <row r="393" spans="1:29" ht="51">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1970</v>
      </c>
      <c r="Y393" s="67"/>
      <c r="Z393" s="123" t="s">
        <v>1041</v>
      </c>
      <c r="AA393" s="123" t="s">
        <v>743</v>
      </c>
      <c r="AB393" s="123" t="s">
        <v>1173</v>
      </c>
      <c r="AC393" s="361"/>
    </row>
    <row r="394" spans="1:29" ht="39.950000000000003" customHeight="1">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t="shared" ca="1" si="23"/>
        <v>SI</v>
      </c>
      <c r="P394" s="67" t="str">
        <f t="shared" si="25"/>
        <v>DIANOSOL</v>
      </c>
      <c r="Q394" s="67" t="s">
        <v>899</v>
      </c>
      <c r="R394" s="67" t="str">
        <f>VLOOKUP($Q394,Resultados!$A$1:$B$49,2,FALSE)</f>
        <v>Libertad</v>
      </c>
      <c r="S394" s="74">
        <v>0.4368055555555555</v>
      </c>
      <c r="T394" s="77" t="str">
        <f t="shared" si="24"/>
        <v>SI</v>
      </c>
      <c r="U394" s="77"/>
      <c r="V394" s="67"/>
      <c r="W394" s="74">
        <v>0.46180555555555558</v>
      </c>
      <c r="X394" s="67" t="s">
        <v>1983</v>
      </c>
      <c r="Y394" s="67"/>
      <c r="Z394" s="123" t="s">
        <v>743</v>
      </c>
      <c r="AA394" s="123" t="s">
        <v>743</v>
      </c>
      <c r="AB394" s="123" t="s">
        <v>1176</v>
      </c>
      <c r="AC394" s="361"/>
    </row>
    <row r="395" spans="1:29" ht="39.950000000000003" customHeight="1">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61"/>
    </row>
    <row r="396" spans="1:29" ht="51">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t="shared" ca="1" si="23"/>
        <v>SI</v>
      </c>
      <c r="P396" s="67" t="str">
        <f t="shared" si="25"/>
        <v>DIANOSOL</v>
      </c>
      <c r="Q396" s="67" t="s">
        <v>904</v>
      </c>
      <c r="R396" s="67" t="str">
        <f>VLOOKUP($Q396,Resultados!$A$1:$B$49,2,FALSE)</f>
        <v>Juicio Abreviado</v>
      </c>
      <c r="S396" s="74">
        <v>0.3743055555555555</v>
      </c>
      <c r="T396" s="77" t="str">
        <f t="shared" si="24"/>
        <v>SI</v>
      </c>
      <c r="U396" s="77"/>
      <c r="V396" s="67"/>
      <c r="W396" s="74">
        <v>0.38125000000000003</v>
      </c>
      <c r="X396" s="67"/>
      <c r="Y396" s="67"/>
      <c r="Z396" s="123" t="s">
        <v>748</v>
      </c>
      <c r="AA396" s="123" t="s">
        <v>1170</v>
      </c>
      <c r="AB396" s="123" t="s">
        <v>1174</v>
      </c>
      <c r="AC396" s="361"/>
    </row>
    <row r="397" spans="1:29" ht="39.950000000000003" customHeight="1">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NO</v>
      </c>
      <c r="U397" s="77"/>
      <c r="V397" s="67"/>
      <c r="W397" s="74">
        <v>0.3611111111111111</v>
      </c>
      <c r="X397" s="67"/>
      <c r="Y397" s="67"/>
      <c r="Z397" s="123" t="s">
        <v>743</v>
      </c>
      <c r="AA397" s="123" t="s">
        <v>743</v>
      </c>
      <c r="AB397" s="123" t="s">
        <v>1176</v>
      </c>
      <c r="AC397" s="361"/>
    </row>
    <row r="398" spans="1:29" ht="39.950000000000003" customHeight="1">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61"/>
    </row>
    <row r="399" spans="1:29" ht="39.950000000000003" customHeight="1">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61"/>
    </row>
    <row r="400" spans="1:29" ht="39.950000000000003" customHeight="1">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t="shared" ca="1" si="26"/>
        <v>SI</v>
      </c>
      <c r="P400" s="67" t="str">
        <f t="shared" si="25"/>
        <v>DIANOSOL</v>
      </c>
      <c r="Q400" s="67" t="s">
        <v>151</v>
      </c>
      <c r="R400" s="67" t="str">
        <f>VLOOKUP($Q400,Resultados!$A$1:$B$49,2,FALSE)</f>
        <v>Prisión Preventiva</v>
      </c>
      <c r="S400" s="74">
        <v>0.36041666666666666</v>
      </c>
      <c r="T400" s="77" t="str">
        <f t="shared" si="24"/>
        <v>SI</v>
      </c>
      <c r="U400" s="77"/>
      <c r="V400" s="67"/>
      <c r="W400" s="74">
        <v>0.37708333333333338</v>
      </c>
      <c r="X400" s="67" t="s">
        <v>2025</v>
      </c>
      <c r="Y400" s="67"/>
      <c r="Z400" s="123" t="s">
        <v>1042</v>
      </c>
      <c r="AA400" s="123" t="s">
        <v>1170</v>
      </c>
      <c r="AB400" s="123" t="s">
        <v>1172</v>
      </c>
      <c r="AC400" s="361"/>
    </row>
    <row r="401" spans="1:29" ht="39.950000000000003" customHeight="1">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2024</v>
      </c>
      <c r="Y401" s="67"/>
      <c r="Z401" s="123" t="s">
        <v>748</v>
      </c>
      <c r="AA401" s="123" t="s">
        <v>743</v>
      </c>
      <c r="AB401" s="123" t="s">
        <v>1174</v>
      </c>
      <c r="AC401" s="361"/>
    </row>
    <row r="402" spans="1:29" ht="39.950000000000003" customHeight="1">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t="shared" ca="1" si="26"/>
        <v>SI</v>
      </c>
      <c r="P402" s="67" t="str">
        <f t="shared" si="25"/>
        <v>DIANOSOL</v>
      </c>
      <c r="Q402" s="67" t="s">
        <v>899</v>
      </c>
      <c r="R402" s="67" t="str">
        <f>VLOOKUP($Q402,Resultados!$A$1:$B$49,2,FALSE)</f>
        <v>Libertad</v>
      </c>
      <c r="S402" s="74">
        <v>0.3354166666666667</v>
      </c>
      <c r="T402" s="77" t="str">
        <f t="shared" si="24"/>
        <v>NO</v>
      </c>
      <c r="U402" s="77"/>
      <c r="V402" s="67"/>
      <c r="W402" s="74">
        <v>0.37986111111111115</v>
      </c>
      <c r="X402" s="67"/>
      <c r="Y402" s="67"/>
      <c r="Z402" s="123" t="s">
        <v>743</v>
      </c>
      <c r="AA402" s="123" t="s">
        <v>1168</v>
      </c>
      <c r="AB402" s="123" t="s">
        <v>1176</v>
      </c>
      <c r="AC402" s="361"/>
    </row>
    <row r="403" spans="1:29" ht="153">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61"/>
    </row>
    <row r="404" spans="1:29" ht="38.25">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t="shared" ca="1" si="26"/>
        <v>SI</v>
      </c>
      <c r="P404" s="67" t="str">
        <f t="shared" si="25"/>
        <v>DIANOSOL</v>
      </c>
      <c r="Q404" s="67" t="s">
        <v>1511</v>
      </c>
      <c r="R404" s="67" t="str">
        <f>VLOOKUP($Q404,Resultados!$A$1:$B$49,2,FALSE)</f>
        <v>Juicio Abreviado</v>
      </c>
      <c r="S404" s="74">
        <v>0.38125000000000003</v>
      </c>
      <c r="T404" s="77" t="str">
        <f t="shared" si="24"/>
        <v>NO</v>
      </c>
      <c r="U404" s="77"/>
      <c r="V404" s="67"/>
      <c r="W404" s="74">
        <v>0.3923611111111111</v>
      </c>
      <c r="X404" s="67" t="s">
        <v>2023</v>
      </c>
      <c r="Y404" s="67"/>
      <c r="Z404" s="123" t="s">
        <v>1041</v>
      </c>
      <c r="AA404" s="123" t="s">
        <v>743</v>
      </c>
      <c r="AB404" s="123" t="s">
        <v>1173</v>
      </c>
      <c r="AC404" s="361"/>
    </row>
    <row r="405" spans="1:29" ht="89.25">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61"/>
    </row>
    <row r="406" spans="1:29" ht="39.950000000000003" customHeight="1">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t="shared" ca="1" si="26"/>
        <v>SI</v>
      </c>
      <c r="P406" s="67" t="str">
        <f t="shared" si="25"/>
        <v>DIANOSOL</v>
      </c>
      <c r="Q406" s="67" t="s">
        <v>904</v>
      </c>
      <c r="R406" s="67" t="str">
        <f>VLOOKUP($Q406,Resultados!$A$1:$B$49,2,FALSE)</f>
        <v>Juicio Abreviado</v>
      </c>
      <c r="S406" s="67" t="s">
        <v>73</v>
      </c>
      <c r="T406" s="77" t="str">
        <f t="shared" si="24"/>
        <v>SI</v>
      </c>
      <c r="U406" s="77"/>
      <c r="V406" s="67"/>
      <c r="W406" s="67" t="s">
        <v>1009</v>
      </c>
      <c r="X406" s="370" t="s">
        <v>2060</v>
      </c>
      <c r="Y406" s="67"/>
      <c r="Z406" s="123" t="s">
        <v>748</v>
      </c>
      <c r="AA406" s="123" t="s">
        <v>1170</v>
      </c>
      <c r="AB406" s="123" t="s">
        <v>1174</v>
      </c>
      <c r="AC406" s="361"/>
    </row>
    <row r="407" spans="1:29" ht="39.950000000000003" customHeight="1">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2049</v>
      </c>
      <c r="Y407" s="67"/>
      <c r="Z407" s="123" t="s">
        <v>743</v>
      </c>
      <c r="AA407" s="123" t="s">
        <v>743</v>
      </c>
      <c r="AB407" s="123" t="s">
        <v>1172</v>
      </c>
      <c r="AC407" s="361"/>
    </row>
    <row r="408" spans="1:29" ht="39.950000000000003" customHeight="1">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1291</v>
      </c>
      <c r="X408" s="175" t="s">
        <v>2062</v>
      </c>
      <c r="Y408" s="67"/>
      <c r="Z408" s="123" t="s">
        <v>1041</v>
      </c>
      <c r="AA408" s="123" t="s">
        <v>1170</v>
      </c>
      <c r="AB408" s="123" t="s">
        <v>1173</v>
      </c>
      <c r="AC408" s="361"/>
    </row>
    <row r="409" spans="1:29" ht="51">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t="shared" ca="1" si="26"/>
        <v>SI</v>
      </c>
      <c r="P409" s="67" t="str">
        <f t="shared" si="25"/>
        <v>DIANOSOL</v>
      </c>
      <c r="Q409" s="67" t="s">
        <v>905</v>
      </c>
      <c r="R409" s="67" t="str">
        <f>VLOOKUP($Q409,Resultados!$A$1:$B$49,2,FALSE)</f>
        <v>Juicio Abreviado</v>
      </c>
      <c r="S409" s="67" t="s">
        <v>2058</v>
      </c>
      <c r="T409" s="77" t="str">
        <f t="shared" si="24"/>
        <v>NO</v>
      </c>
      <c r="U409" s="77"/>
      <c r="V409" s="67"/>
      <c r="W409" s="67" t="s">
        <v>1278</v>
      </c>
      <c r="X409" s="155"/>
      <c r="Y409" s="67"/>
      <c r="Z409" s="123" t="s">
        <v>1042</v>
      </c>
      <c r="AA409" s="123" t="s">
        <v>1168</v>
      </c>
      <c r="AB409" s="123" t="s">
        <v>1175</v>
      </c>
      <c r="AC409" s="361"/>
    </row>
    <row r="410" spans="1:29" ht="51">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t="shared" ca="1" si="26"/>
        <v>SI</v>
      </c>
      <c r="P410" s="67" t="str">
        <f t="shared" si="25"/>
        <v>DIANOSOL</v>
      </c>
      <c r="Q410" s="67" t="s">
        <v>151</v>
      </c>
      <c r="R410" s="67" t="str">
        <f>VLOOKUP($Q410,Resultados!$A$1:$B$49,2,FALSE)</f>
        <v>Prisión Preventiva</v>
      </c>
      <c r="S410" s="74">
        <v>0.42499999999999999</v>
      </c>
      <c r="T410" s="77" t="str">
        <f t="shared" si="24"/>
        <v>NO</v>
      </c>
      <c r="U410" s="77"/>
      <c r="V410" s="67"/>
      <c r="W410" s="74">
        <v>0.48125000000000001</v>
      </c>
      <c r="X410" s="67"/>
      <c r="Y410" s="67"/>
      <c r="Z410" s="123" t="s">
        <v>748</v>
      </c>
      <c r="AA410" s="123" t="s">
        <v>1168</v>
      </c>
      <c r="AB410" s="123" t="s">
        <v>1174</v>
      </c>
      <c r="AC410" s="361"/>
    </row>
    <row r="411" spans="1:29" ht="39.950000000000003" customHeight="1">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t="shared" ca="1" si="26"/>
        <v>SI</v>
      </c>
      <c r="P411" s="67" t="str">
        <f t="shared" si="25"/>
        <v>DIANOSOL</v>
      </c>
      <c r="Q411" s="67" t="s">
        <v>904</v>
      </c>
      <c r="R411" s="67" t="str">
        <f>VLOOKUP($Q411,Resultados!$A$1:$B$49,2,FALSE)</f>
        <v>Juicio Abreviado</v>
      </c>
      <c r="S411" s="67" t="s">
        <v>1134</v>
      </c>
      <c r="T411" s="77" t="str">
        <f t="shared" si="24"/>
        <v>NO</v>
      </c>
      <c r="U411" s="77"/>
      <c r="V411" s="67"/>
      <c r="W411" s="67" t="s">
        <v>1745</v>
      </c>
      <c r="X411" s="67"/>
      <c r="Y411" s="67"/>
      <c r="Z411" s="123" t="s">
        <v>743</v>
      </c>
      <c r="AA411" s="123" t="s">
        <v>1170</v>
      </c>
      <c r="AB411" s="123" t="s">
        <v>1176</v>
      </c>
      <c r="AC411" s="361"/>
    </row>
    <row r="412" spans="1:29" ht="39.950000000000003" customHeight="1">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2055</v>
      </c>
      <c r="X412" s="67" t="s">
        <v>2057</v>
      </c>
      <c r="Y412" s="67"/>
      <c r="Z412" s="123" t="s">
        <v>770</v>
      </c>
      <c r="AA412" s="123" t="s">
        <v>743</v>
      </c>
      <c r="AB412" s="123" t="s">
        <v>1175</v>
      </c>
      <c r="AC412" s="361"/>
    </row>
    <row r="413" spans="1:29" ht="38.25">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t="shared" ca="1" si="26"/>
        <v>SI</v>
      </c>
      <c r="P413" s="67" t="str">
        <f t="shared" si="25"/>
        <v>DIANOSOL</v>
      </c>
      <c r="Q413" s="67" t="s">
        <v>151</v>
      </c>
      <c r="R413" s="67" t="str">
        <f>VLOOKUP($Q413,Resultados!$A$1:$B$49,2,FALSE)</f>
        <v>Prisión Preventiva</v>
      </c>
      <c r="S413" s="74" t="s">
        <v>1374</v>
      </c>
      <c r="T413" s="77" t="str">
        <f t="shared" si="24"/>
        <v>NO</v>
      </c>
      <c r="U413" s="77"/>
      <c r="V413" s="67"/>
      <c r="W413" s="67" t="s">
        <v>2074</v>
      </c>
      <c r="X413" s="67" t="s">
        <v>2075</v>
      </c>
      <c r="Y413" s="67"/>
      <c r="Z413" s="123" t="s">
        <v>1041</v>
      </c>
      <c r="AA413" s="123" t="s">
        <v>1168</v>
      </c>
      <c r="AB413" s="123" t="s">
        <v>1172</v>
      </c>
      <c r="AC413" s="361"/>
    </row>
    <row r="414" spans="1:29" ht="25.5">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t="shared" ca="1" si="26"/>
        <v>SI</v>
      </c>
      <c r="P414" s="67" t="str">
        <f t="shared" si="25"/>
        <v>DIANOSOL</v>
      </c>
      <c r="Q414" s="67" t="s">
        <v>911</v>
      </c>
      <c r="R414" s="67" t="s">
        <v>949</v>
      </c>
      <c r="S414" s="67"/>
      <c r="T414" s="77" t="str">
        <f t="shared" si="24"/>
        <v>NO</v>
      </c>
      <c r="U414" s="77"/>
      <c r="V414" s="67"/>
      <c r="W414" s="67"/>
      <c r="X414" s="67"/>
      <c r="Y414" s="67"/>
      <c r="Z414" s="123" t="s">
        <v>1042</v>
      </c>
      <c r="AA414" s="123" t="s">
        <v>1170</v>
      </c>
      <c r="AB414" s="123" t="s">
        <v>1174</v>
      </c>
      <c r="AC414" s="361"/>
    </row>
    <row r="415" spans="1:29" ht="51">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61"/>
    </row>
    <row r="416" spans="1:29" ht="38.25">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2080</v>
      </c>
      <c r="Y416" s="67"/>
      <c r="Z416" s="123" t="s">
        <v>743</v>
      </c>
      <c r="AA416" s="123" t="s">
        <v>743</v>
      </c>
      <c r="AB416" s="123" t="s">
        <v>1172</v>
      </c>
      <c r="AC416" s="361"/>
    </row>
    <row r="417" spans="1:29" ht="63.75">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61"/>
    </row>
    <row r="418" spans="1:29" ht="39.950000000000003" customHeight="1">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2120</v>
      </c>
      <c r="Y418" s="67"/>
      <c r="Z418" s="123" t="s">
        <v>1042</v>
      </c>
      <c r="AA418" s="123" t="s">
        <v>1168</v>
      </c>
      <c r="AB418" s="123" t="s">
        <v>1172</v>
      </c>
      <c r="AC418" s="361"/>
    </row>
    <row r="419" spans="1:29" ht="39.950000000000003" customHeight="1">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61"/>
    </row>
    <row r="420" spans="1:29" ht="39.950000000000003" customHeight="1">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61"/>
    </row>
    <row r="421" spans="1:29" ht="39.950000000000003" customHeight="1">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61"/>
    </row>
    <row r="422" spans="1:29" ht="39.950000000000003" customHeight="1">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t="shared" ca="1" si="26"/>
        <v>SI</v>
      </c>
      <c r="P422" s="67" t="str">
        <f t="shared" si="25"/>
        <v>DIANOSOL</v>
      </c>
      <c r="Q422" s="67" t="s">
        <v>913</v>
      </c>
      <c r="R422" s="67" t="str">
        <f>VLOOKUP($Q422,Resultados!$A$1:$B$49,2,FALSE)</f>
        <v>Prision domiciliaria</v>
      </c>
      <c r="S422" s="74">
        <v>0.39166666666666666</v>
      </c>
      <c r="T422" s="77" t="str">
        <f t="shared" si="24"/>
        <v>NO</v>
      </c>
      <c r="U422" s="77"/>
      <c r="V422" s="67"/>
      <c r="W422" s="74">
        <v>0.42430555555555555</v>
      </c>
      <c r="X422" s="67"/>
      <c r="Y422" s="67"/>
      <c r="Z422" s="123" t="s">
        <v>1042</v>
      </c>
      <c r="AA422" s="123" t="s">
        <v>1168</v>
      </c>
      <c r="AB422" s="123" t="s">
        <v>1174</v>
      </c>
      <c r="AC422" s="361"/>
    </row>
    <row r="423" spans="1:29" ht="39.950000000000003" customHeight="1">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2107</v>
      </c>
      <c r="Y423" s="67"/>
      <c r="Z423" s="123" t="s">
        <v>1041</v>
      </c>
      <c r="AA423" s="123" t="s">
        <v>1170</v>
      </c>
      <c r="AB423" s="123" t="s">
        <v>1172</v>
      </c>
      <c r="AC423" s="361"/>
    </row>
    <row r="424" spans="1:29" ht="39.950000000000003" customHeight="1">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61"/>
    </row>
    <row r="425" spans="1:29" ht="39.950000000000003" customHeight="1">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61"/>
    </row>
    <row r="426" spans="1:29" ht="39.950000000000003" customHeight="1">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t="shared" ca="1" si="26"/>
        <v>SI</v>
      </c>
      <c r="P426" s="67" t="str">
        <f t="shared" si="25"/>
        <v>DIANOSOL</v>
      </c>
      <c r="Q426" s="67" t="s">
        <v>904</v>
      </c>
      <c r="R426" s="67" t="str">
        <f>VLOOKUP($Q426,Resultados!$A$1:$B$49,2,FALSE)</f>
        <v>Juicio Abreviado</v>
      </c>
      <c r="S426" s="67"/>
      <c r="T426" s="77" t="str">
        <f t="shared" ref="T426:T471" si="27">IF(G426=$J$1,"SI","NO")</f>
        <v>NO</v>
      </c>
      <c r="U426" s="77"/>
      <c r="V426" s="67"/>
      <c r="W426" s="67"/>
      <c r="X426" s="67"/>
      <c r="Y426" s="67"/>
      <c r="Z426" s="123" t="s">
        <v>1042</v>
      </c>
      <c r="AA426" s="123" t="s">
        <v>1170</v>
      </c>
      <c r="AB426" s="123" t="s">
        <v>1173</v>
      </c>
      <c r="AC426" s="361"/>
    </row>
    <row r="427" spans="1:29" ht="39.950000000000003" customHeight="1">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3" t="s">
        <v>748</v>
      </c>
      <c r="AA427" s="123" t="s">
        <v>743</v>
      </c>
      <c r="AB427" s="123" t="s">
        <v>1172</v>
      </c>
      <c r="AC427" s="361"/>
    </row>
    <row r="428" spans="1:29" ht="39.950000000000003" customHeight="1">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t="shared" ca="1" si="26"/>
        <v>SI</v>
      </c>
      <c r="P428" s="67" t="str">
        <f t="shared" si="25"/>
        <v>DIANOSOL</v>
      </c>
      <c r="Q428" s="67" t="s">
        <v>151</v>
      </c>
      <c r="R428" s="67" t="str">
        <f>VLOOKUP($Q428,Resultados!$A$1:$B$49,2,FALSE)</f>
        <v>Prisión Preventiva</v>
      </c>
      <c r="S428" s="67"/>
      <c r="T428" s="77" t="str">
        <f t="shared" si="27"/>
        <v>NO</v>
      </c>
      <c r="U428" s="77"/>
      <c r="V428" s="67"/>
      <c r="W428" s="67"/>
      <c r="X428" s="67"/>
      <c r="Y428" s="67"/>
      <c r="Z428" s="123" t="s">
        <v>770</v>
      </c>
      <c r="AA428" s="123" t="s">
        <v>1168</v>
      </c>
      <c r="AB428" s="123" t="s">
        <v>1174</v>
      </c>
      <c r="AC428" s="361"/>
    </row>
    <row r="429" spans="1:29" ht="39.950000000000003" customHeight="1">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61"/>
    </row>
    <row r="430" spans="1:29" ht="39.950000000000003" customHeight="1">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2149</v>
      </c>
      <c r="AA430" s="123" t="s">
        <v>1168</v>
      </c>
      <c r="AB430" s="123" t="s">
        <v>1173</v>
      </c>
      <c r="AC430" s="361"/>
    </row>
    <row r="431" spans="1:29" ht="39.950000000000003" customHeight="1">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2152</v>
      </c>
      <c r="Y431" s="67"/>
      <c r="Z431" s="123" t="s">
        <v>748</v>
      </c>
      <c r="AA431" s="123" t="s">
        <v>1168</v>
      </c>
      <c r="AB431" s="123" t="s">
        <v>1175</v>
      </c>
      <c r="AC431" s="361"/>
    </row>
    <row r="432" spans="1:29" ht="39.950000000000003" customHeight="1">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NO</v>
      </c>
      <c r="U432" s="77"/>
      <c r="V432" s="67"/>
      <c r="W432" s="74">
        <v>0.375</v>
      </c>
      <c r="X432" s="67" t="s">
        <v>2153</v>
      </c>
      <c r="Y432" s="67"/>
      <c r="Z432" s="123" t="s">
        <v>770</v>
      </c>
      <c r="AA432" s="123" t="s">
        <v>743</v>
      </c>
      <c r="AB432" s="123" t="s">
        <v>1172</v>
      </c>
      <c r="AC432" s="361"/>
    </row>
    <row r="433" spans="1:29" ht="39.950000000000003" customHeight="1">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NO</v>
      </c>
      <c r="U433" s="77"/>
      <c r="V433" s="67"/>
      <c r="W433" s="74">
        <v>0.36041666666666666</v>
      </c>
      <c r="X433" s="67" t="s">
        <v>2154</v>
      </c>
      <c r="Y433" s="67"/>
      <c r="Z433" s="123" t="s">
        <v>1041</v>
      </c>
      <c r="AA433" s="123" t="s">
        <v>743</v>
      </c>
      <c r="AB433" s="123" t="s">
        <v>1174</v>
      </c>
      <c r="AC433" s="361"/>
    </row>
    <row r="434" spans="1:29" ht="38.25">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2150</v>
      </c>
      <c r="Y434" s="67"/>
      <c r="Z434" s="123" t="s">
        <v>748</v>
      </c>
      <c r="AA434" s="123" t="s">
        <v>1168</v>
      </c>
      <c r="AB434" s="123" t="s">
        <v>1176</v>
      </c>
      <c r="AC434" s="361"/>
    </row>
    <row r="435" spans="1:29" ht="39.950000000000003" customHeight="1">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SI</v>
      </c>
      <c r="U435" s="77"/>
      <c r="V435" s="67"/>
      <c r="W435" s="74">
        <v>0.41111111111111115</v>
      </c>
      <c r="X435" s="67" t="s">
        <v>2024</v>
      </c>
      <c r="Y435" s="67"/>
      <c r="Z435" s="123" t="s">
        <v>770</v>
      </c>
      <c r="AA435" s="123" t="s">
        <v>1170</v>
      </c>
      <c r="AB435" s="123" t="s">
        <v>1173</v>
      </c>
      <c r="AC435" s="361"/>
    </row>
    <row r="436" spans="1:29" ht="39.950000000000003" customHeight="1">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t="shared" ca="1" si="26"/>
        <v>SI</v>
      </c>
      <c r="P436" s="67" t="str">
        <f t="shared" si="25"/>
        <v>DIANOSOL</v>
      </c>
      <c r="Q436" s="67" t="s">
        <v>1900</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61"/>
    </row>
    <row r="437" spans="1:29" ht="139.5" customHeight="1">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2166</v>
      </c>
      <c r="Y437" s="7"/>
      <c r="Z437" s="123" t="s">
        <v>1042</v>
      </c>
      <c r="AA437" s="284" t="s">
        <v>1170</v>
      </c>
      <c r="AB437" s="123" t="s">
        <v>1172</v>
      </c>
      <c r="AC437" s="361"/>
    </row>
    <row r="438" spans="1:29" ht="39.950000000000003" customHeight="1">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NO</v>
      </c>
      <c r="U438" s="77"/>
      <c r="V438" s="67"/>
      <c r="W438" s="74">
        <v>0.43888888888888888</v>
      </c>
      <c r="X438" s="67"/>
      <c r="Y438" s="67"/>
      <c r="Z438" s="123" t="s">
        <v>748</v>
      </c>
      <c r="AA438" s="123" t="s">
        <v>743</v>
      </c>
      <c r="AB438" s="123" t="s">
        <v>1174</v>
      </c>
      <c r="AC438" s="361"/>
    </row>
    <row r="439" spans="1:29" ht="39.950000000000003" customHeight="1">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2165</v>
      </c>
      <c r="Y439" s="67"/>
      <c r="Z439" s="123" t="s">
        <v>743</v>
      </c>
      <c r="AA439" s="123" t="s">
        <v>1168</v>
      </c>
      <c r="AB439" s="123" t="s">
        <v>1176</v>
      </c>
      <c r="AC439" s="361"/>
    </row>
    <row r="440" spans="1:29" ht="39.950000000000003" customHeight="1">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2169</v>
      </c>
      <c r="Y440" s="7"/>
      <c r="Z440" s="123" t="s">
        <v>770</v>
      </c>
      <c r="AA440" s="284" t="s">
        <v>1170</v>
      </c>
      <c r="AB440" s="123" t="s">
        <v>1175</v>
      </c>
      <c r="AC440" s="361"/>
    </row>
    <row r="441" spans="1:29" ht="39.950000000000003" customHeight="1">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t="shared" ca="1" si="26"/>
        <v>SI</v>
      </c>
      <c r="P441" s="67" t="str">
        <f t="shared" si="25"/>
        <v>DIANOSOL</v>
      </c>
      <c r="Q441" s="67" t="s">
        <v>151</v>
      </c>
      <c r="R441" s="67" t="str">
        <f>VLOOKUP($Q441,Resultados!$A$1:$B$49,2,FALSE)</f>
        <v>Prisión Preventiva</v>
      </c>
      <c r="S441" s="74">
        <v>0.37847222222222227</v>
      </c>
      <c r="T441" s="77" t="str">
        <f t="shared" si="27"/>
        <v>SI</v>
      </c>
      <c r="U441" s="77"/>
      <c r="V441" s="67"/>
      <c r="W441" s="74">
        <v>0.39513888888888887</v>
      </c>
      <c r="X441" s="67" t="s">
        <v>2168</v>
      </c>
      <c r="Y441" s="155"/>
      <c r="Z441" s="123" t="s">
        <v>1041</v>
      </c>
      <c r="AA441" s="123" t="s">
        <v>1168</v>
      </c>
      <c r="AB441" s="123" t="s">
        <v>1172</v>
      </c>
      <c r="AC441" s="361"/>
    </row>
    <row r="442" spans="1:29" ht="25.5">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61"/>
    </row>
    <row r="443" spans="1:29" ht="39.950000000000003" customHeight="1">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SI</v>
      </c>
      <c r="U443" s="77"/>
      <c r="V443" s="67"/>
      <c r="W443" s="74">
        <v>0.54097222222222219</v>
      </c>
      <c r="X443" s="67" t="s">
        <v>2181</v>
      </c>
      <c r="Y443" s="67"/>
      <c r="Z443" s="123" t="s">
        <v>748</v>
      </c>
      <c r="AA443" s="123" t="s">
        <v>1170</v>
      </c>
      <c r="AB443" s="123" t="s">
        <v>1174</v>
      </c>
      <c r="AC443" s="361"/>
    </row>
    <row r="444" spans="1:29" ht="39.950000000000003" customHeight="1">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2154</v>
      </c>
      <c r="Y444" s="67"/>
      <c r="Z444" s="123" t="s">
        <v>743</v>
      </c>
      <c r="AA444" s="123" t="s">
        <v>743</v>
      </c>
      <c r="AB444" s="123" t="s">
        <v>1176</v>
      </c>
      <c r="AC444" s="361"/>
    </row>
    <row r="445" spans="1:29" ht="39.950000000000003" customHeight="1">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t="shared" ca="1" si="26"/>
        <v>SI</v>
      </c>
      <c r="P445" s="67" t="str">
        <f t="shared" si="25"/>
        <v>DIANOSOL</v>
      </c>
      <c r="Q445" s="67" t="s">
        <v>904</v>
      </c>
      <c r="R445" s="67" t="str">
        <f>VLOOKUP($Q445,Resultados!$A$1:$B$49,2,FALSE)</f>
        <v>Juicio Abreviado</v>
      </c>
      <c r="S445" s="74">
        <v>0.36805555555555558</v>
      </c>
      <c r="T445" s="77" t="str">
        <f t="shared" si="27"/>
        <v>NO</v>
      </c>
      <c r="U445" s="77"/>
      <c r="V445" s="67"/>
      <c r="W445" s="74">
        <v>0.38125000000000003</v>
      </c>
      <c r="X445" s="67"/>
      <c r="Y445" s="67"/>
      <c r="Z445" s="123" t="s">
        <v>770</v>
      </c>
      <c r="AA445" s="123" t="s">
        <v>1170</v>
      </c>
      <c r="AB445" s="123" t="s">
        <v>1175</v>
      </c>
      <c r="AC445" s="361"/>
    </row>
    <row r="446" spans="1:29" ht="39.950000000000003" customHeight="1">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t="shared" ca="1" si="26"/>
        <v>SI</v>
      </c>
      <c r="P446" s="67" t="str">
        <f t="shared" si="25"/>
        <v>DIANOSOL</v>
      </c>
      <c r="Q446" s="67" t="s">
        <v>904</v>
      </c>
      <c r="R446" s="67" t="str">
        <f>VLOOKUP($Q446,Resultados!$A$1:$B$49,2,FALSE)</f>
        <v>Juicio Abreviado</v>
      </c>
      <c r="S446" s="74">
        <v>0.36319444444444443</v>
      </c>
      <c r="T446" s="77" t="str">
        <f t="shared" si="27"/>
        <v>NO</v>
      </c>
      <c r="U446" s="77"/>
      <c r="V446" s="67"/>
      <c r="W446" s="74">
        <v>0.38055555555555554</v>
      </c>
      <c r="X446" s="67" t="s">
        <v>2195</v>
      </c>
      <c r="Y446" s="67"/>
      <c r="Z446" s="123" t="s">
        <v>1041</v>
      </c>
      <c r="AA446" s="123" t="s">
        <v>1168</v>
      </c>
      <c r="AB446" s="123" t="s">
        <v>1172</v>
      </c>
      <c r="AC446" s="361"/>
    </row>
    <row r="447" spans="1:29" ht="39.950000000000003" customHeight="1">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2202</v>
      </c>
      <c r="Y447" s="67"/>
      <c r="Z447" s="123" t="s">
        <v>1042</v>
      </c>
      <c r="AA447" s="123" t="s">
        <v>743</v>
      </c>
      <c r="AB447" s="123" t="s">
        <v>1173</v>
      </c>
      <c r="AC447" s="361"/>
    </row>
    <row r="448" spans="1:29" ht="39.950000000000003" customHeight="1">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61"/>
    </row>
    <row r="449" spans="1:29" ht="39.950000000000003" customHeight="1">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t="shared" ca="1" si="26"/>
        <v>SI</v>
      </c>
      <c r="P449" s="67" t="str">
        <f t="shared" si="25"/>
        <v>DIANOSOL</v>
      </c>
      <c r="Q449" s="67" t="s">
        <v>905</v>
      </c>
      <c r="R449" s="67" t="str">
        <f>VLOOKUP($Q449,Resultados!$A$1:$B$49,2,FALSE)</f>
        <v>Juicio Abreviado</v>
      </c>
      <c r="S449" s="74">
        <v>0.41944444444444445</v>
      </c>
      <c r="T449" s="77" t="str">
        <f t="shared" si="27"/>
        <v>SI</v>
      </c>
      <c r="U449" s="77"/>
      <c r="V449" s="67"/>
      <c r="W449" s="74">
        <v>0.4375</v>
      </c>
      <c r="X449" s="67" t="s">
        <v>2204</v>
      </c>
      <c r="Y449" s="67"/>
      <c r="Z449" s="123" t="s">
        <v>743</v>
      </c>
      <c r="AA449" s="123" t="s">
        <v>1168</v>
      </c>
      <c r="AB449" s="123" t="s">
        <v>1176</v>
      </c>
      <c r="AC449" s="361"/>
    </row>
    <row r="450" spans="1:29" ht="39.950000000000003" customHeight="1">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3" t="s">
        <v>770</v>
      </c>
      <c r="AA450" s="123" t="s">
        <v>1170</v>
      </c>
      <c r="AB450" s="123" t="s">
        <v>1175</v>
      </c>
      <c r="AC450" s="361"/>
    </row>
    <row r="451" spans="1:29" ht="39.950000000000003" customHeight="1">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NO</v>
      </c>
      <c r="U451" s="77"/>
      <c r="V451" s="67"/>
      <c r="W451" s="74">
        <v>0.39444444444444443</v>
      </c>
      <c r="X451" s="67"/>
      <c r="Y451" s="67"/>
      <c r="Z451" s="123" t="s">
        <v>1041</v>
      </c>
      <c r="AA451" s="123" t="s">
        <v>743</v>
      </c>
      <c r="AB451" s="123" t="s">
        <v>1173</v>
      </c>
      <c r="AC451" s="361"/>
    </row>
    <row r="452" spans="1:29" ht="39.950000000000003" customHeight="1">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t="shared" ca="1" si="26"/>
        <v>SI</v>
      </c>
      <c r="P452" s="67" t="str">
        <f t="shared" si="28"/>
        <v>DIANOSOL</v>
      </c>
      <c r="Q452" s="67" t="s">
        <v>911</v>
      </c>
      <c r="R452" s="67" t="str">
        <f>VLOOKUP($Q452,Resultados!$A$1:$B$49,2,FALSE)</f>
        <v>Suspendida</v>
      </c>
      <c r="S452" s="67" t="s">
        <v>2418</v>
      </c>
      <c r="T452" s="77" t="str">
        <f t="shared" si="27"/>
        <v>NO</v>
      </c>
      <c r="U452" s="77"/>
      <c r="V452" s="67"/>
      <c r="W452" s="67" t="s">
        <v>1390</v>
      </c>
      <c r="X452" s="175" t="s">
        <v>2419</v>
      </c>
      <c r="Y452" s="67"/>
      <c r="Z452" s="123" t="s">
        <v>1042</v>
      </c>
      <c r="AA452" s="123" t="s">
        <v>1168</v>
      </c>
      <c r="AB452" s="123" t="s">
        <v>1172</v>
      </c>
      <c r="AC452" s="361"/>
    </row>
    <row r="453" spans="1:29" ht="39.950000000000003" customHeight="1">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61"/>
    </row>
    <row r="454" spans="1:29" ht="39.950000000000003" customHeight="1">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t="shared" ca="1" si="26"/>
        <v>SI</v>
      </c>
      <c r="P454" s="67" t="str">
        <f t="shared" si="28"/>
        <v>DIANOSOL</v>
      </c>
      <c r="Q454" s="67" t="s">
        <v>904</v>
      </c>
      <c r="R454" s="67" t="str">
        <f>VLOOKUP($Q454,Resultados!$A$1:$B$49,2,FALSE)</f>
        <v>Juicio Abreviado</v>
      </c>
      <c r="S454" s="74">
        <v>0.3840277777777778</v>
      </c>
      <c r="T454" s="77" t="str">
        <f t="shared" si="27"/>
        <v>NO</v>
      </c>
      <c r="U454" s="77"/>
      <c r="V454" s="67"/>
      <c r="W454" s="74">
        <v>0.3979166666666667</v>
      </c>
      <c r="X454" s="67" t="s">
        <v>2239</v>
      </c>
      <c r="Y454" s="67"/>
      <c r="Z454" s="123" t="s">
        <v>743</v>
      </c>
      <c r="AA454" s="123" t="s">
        <v>1170</v>
      </c>
      <c r="AB454" s="123" t="s">
        <v>1176</v>
      </c>
      <c r="AC454" s="361"/>
    </row>
    <row r="455" spans="1:29" ht="39.950000000000003" customHeight="1">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61"/>
    </row>
    <row r="456" spans="1:29" ht="25.5">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2251</v>
      </c>
      <c r="Y456" s="67"/>
      <c r="Z456" s="123" t="s">
        <v>1041</v>
      </c>
      <c r="AA456" s="123" t="s">
        <v>1168</v>
      </c>
      <c r="AB456" s="123" t="s">
        <v>1173</v>
      </c>
      <c r="AC456" s="361"/>
    </row>
    <row r="457" spans="1:29" ht="39.950000000000003" customHeight="1">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t="shared" ca="1" si="26"/>
        <v>SI</v>
      </c>
      <c r="P457" s="67" t="str">
        <f t="shared" si="28"/>
        <v>DIANOSOL</v>
      </c>
      <c r="Q457" s="67" t="s">
        <v>899</v>
      </c>
      <c r="R457" s="67" t="str">
        <f>VLOOKUP($Q457,Resultados!$A$1:$B$49,2,FALSE)</f>
        <v>Libertad</v>
      </c>
      <c r="S457" s="67" t="s">
        <v>73</v>
      </c>
      <c r="T457" s="77" t="str">
        <f t="shared" si="27"/>
        <v>SI</v>
      </c>
      <c r="U457" s="77"/>
      <c r="V457" s="67"/>
      <c r="W457" s="67" t="s">
        <v>1537</v>
      </c>
      <c r="X457" s="67"/>
      <c r="Y457" s="67"/>
      <c r="Z457" s="123" t="s">
        <v>748</v>
      </c>
      <c r="AA457" s="123" t="s">
        <v>1170</v>
      </c>
      <c r="AB457" s="123" t="s">
        <v>1174</v>
      </c>
      <c r="AC457" s="361"/>
    </row>
    <row r="458" spans="1:29" ht="39.950000000000003" customHeight="1">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t="shared" ca="1" si="26"/>
        <v>SI</v>
      </c>
      <c r="P458" s="67" t="str">
        <f t="shared" si="28"/>
        <v>DIANOSOL</v>
      </c>
      <c r="Q458" s="67" t="s">
        <v>909</v>
      </c>
      <c r="R458" s="67" t="str">
        <f>VLOOKUP($Q458,Resultados!$A$1:$B$49,2,FALSE)</f>
        <v>Suspensión de juicio a prueba</v>
      </c>
      <c r="S458" s="67" t="s">
        <v>2254</v>
      </c>
      <c r="T458" s="77" t="str">
        <f t="shared" si="27"/>
        <v>NO</v>
      </c>
      <c r="U458" s="77"/>
      <c r="V458" s="67"/>
      <c r="W458" s="67" t="s">
        <v>1586</v>
      </c>
      <c r="X458" s="67" t="s">
        <v>2153</v>
      </c>
      <c r="Y458" s="67"/>
      <c r="Z458" s="123" t="s">
        <v>743</v>
      </c>
      <c r="AA458" s="123" t="s">
        <v>1168</v>
      </c>
      <c r="AB458" s="123" t="s">
        <v>1176</v>
      </c>
      <c r="AC458" s="361"/>
    </row>
    <row r="459" spans="1:29" ht="39.950000000000003" customHeight="1">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t="shared" ca="1" si="26"/>
        <v>SI</v>
      </c>
      <c r="P459" s="67" t="str">
        <f t="shared" si="28"/>
        <v>DIANOSOL</v>
      </c>
      <c r="Q459" s="67" t="s">
        <v>151</v>
      </c>
      <c r="R459" s="67" t="str">
        <f>VLOOKUP($Q459,Resultados!$A$1:$B$49,2,FALSE)</f>
        <v>Prisión Preventiva</v>
      </c>
      <c r="S459" s="74">
        <v>0.39861111111111108</v>
      </c>
      <c r="T459" s="77" t="str">
        <f t="shared" si="27"/>
        <v>NO</v>
      </c>
      <c r="U459" s="77"/>
      <c r="V459" s="67"/>
      <c r="W459" s="74">
        <v>0.40763888888888888</v>
      </c>
      <c r="X459" s="67"/>
      <c r="Y459" s="67"/>
      <c r="Z459" s="123" t="s">
        <v>770</v>
      </c>
      <c r="AA459" s="123" t="s">
        <v>1170</v>
      </c>
      <c r="AB459" s="123" t="s">
        <v>1175</v>
      </c>
      <c r="AC459" s="361"/>
    </row>
    <row r="460" spans="1:29" ht="39.950000000000003" customHeight="1">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61"/>
    </row>
    <row r="461" spans="1:29" ht="39.950000000000003" customHeight="1">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61"/>
    </row>
    <row r="462" spans="1:29" ht="39.950000000000003" customHeight="1">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61"/>
    </row>
    <row r="463" spans="1:29" ht="39.950000000000003" customHeight="1">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t="shared" ca="1" si="29"/>
        <v>SI</v>
      </c>
      <c r="P463" s="67" t="str">
        <f t="shared" si="28"/>
        <v>DIANOSOL</v>
      </c>
      <c r="Q463" s="67" t="s">
        <v>904</v>
      </c>
      <c r="R463" s="67" t="str">
        <f>VLOOKUP($Q463,Resultados!$A$1:$B$49,2,FALSE)</f>
        <v>Juicio Abreviado</v>
      </c>
      <c r="S463" s="74">
        <v>0.35833333333333334</v>
      </c>
      <c r="T463" s="77" t="str">
        <f t="shared" si="27"/>
        <v>NO</v>
      </c>
      <c r="U463" s="77"/>
      <c r="V463" s="67"/>
      <c r="W463" s="74">
        <v>0.36249999999999999</v>
      </c>
      <c r="X463" s="67"/>
      <c r="Y463" s="67"/>
      <c r="Z463" s="123" t="s">
        <v>743</v>
      </c>
      <c r="AA463" s="123" t="s">
        <v>743</v>
      </c>
      <c r="AB463" s="123" t="s">
        <v>1172</v>
      </c>
      <c r="AC463" s="361"/>
    </row>
    <row r="464" spans="1:29" ht="39.950000000000003" customHeight="1">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61"/>
    </row>
    <row r="465" spans="1:29" ht="63.75">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3" t="s">
        <v>1041</v>
      </c>
      <c r="AA465" s="123" t="s">
        <v>1168</v>
      </c>
      <c r="AB465" s="123" t="s">
        <v>1173</v>
      </c>
      <c r="AC465" s="361"/>
    </row>
    <row r="466" spans="1:29" ht="39.950000000000003" customHeight="1">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t="shared" ca="1" si="29"/>
        <v>SI</v>
      </c>
      <c r="P466" s="67" t="str">
        <f t="shared" si="28"/>
        <v>DIANOSOL</v>
      </c>
      <c r="Q466" s="67" t="s">
        <v>904</v>
      </c>
      <c r="R466" s="67" t="str">
        <f>VLOOKUP($Q466,Resultados!$A$1:$B$49,2,FALSE)</f>
        <v>Juicio Abreviado</v>
      </c>
      <c r="S466" s="74">
        <v>0.37986111111111115</v>
      </c>
      <c r="T466" s="77" t="str">
        <f t="shared" si="27"/>
        <v>SI</v>
      </c>
      <c r="U466" s="77"/>
      <c r="V466" s="67"/>
      <c r="W466" s="74">
        <v>0.38750000000000001</v>
      </c>
      <c r="X466" s="67"/>
      <c r="Y466" s="67"/>
      <c r="Z466" s="123" t="s">
        <v>1042</v>
      </c>
      <c r="AA466" s="123" t="s">
        <v>1170</v>
      </c>
      <c r="AB466" s="123" t="s">
        <v>1172</v>
      </c>
      <c r="AC466" s="361"/>
    </row>
    <row r="467" spans="1:29" ht="39.950000000000003" customHeight="1">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t="shared" ca="1" si="29"/>
        <v>SI</v>
      </c>
      <c r="P467" s="67" t="str">
        <f t="shared" si="28"/>
        <v>DIANOSOL</v>
      </c>
      <c r="Q467" s="67" t="s">
        <v>904</v>
      </c>
      <c r="R467" s="67" t="str">
        <f>VLOOKUP($Q467,Resultados!$A$1:$B$49,2,FALSE)</f>
        <v>Juicio Abreviado</v>
      </c>
      <c r="S467" s="74">
        <v>0.35486111111111113</v>
      </c>
      <c r="T467" s="77" t="str">
        <f t="shared" si="27"/>
        <v>SI</v>
      </c>
      <c r="U467" s="77"/>
      <c r="V467" s="67"/>
      <c r="W467" s="74">
        <v>0.35902777777777778</v>
      </c>
      <c r="X467" s="67"/>
      <c r="Y467" s="67"/>
      <c r="Z467" s="123" t="s">
        <v>748</v>
      </c>
      <c r="AA467" s="123" t="s">
        <v>743</v>
      </c>
      <c r="AB467" s="123" t="s">
        <v>1174</v>
      </c>
      <c r="AC467" s="361"/>
    </row>
    <row r="468" spans="1:29" ht="39.950000000000003" customHeight="1">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2292</v>
      </c>
      <c r="Y468" s="67"/>
      <c r="Z468" s="123" t="s">
        <v>743</v>
      </c>
      <c r="AA468" s="123" t="s">
        <v>743</v>
      </c>
      <c r="AB468" s="123" t="s">
        <v>1176</v>
      </c>
      <c r="AC468" s="361"/>
    </row>
    <row r="469" spans="1:29" ht="39.950000000000003" customHeight="1">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2291</v>
      </c>
      <c r="Y469" s="67"/>
      <c r="Z469" s="123" t="s">
        <v>770</v>
      </c>
      <c r="AA469" s="123" t="s">
        <v>1168</v>
      </c>
      <c r="AB469" s="123" t="s">
        <v>1175</v>
      </c>
      <c r="AC469" s="361"/>
    </row>
    <row r="470" spans="1:29" ht="39.950000000000003" customHeight="1">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2293</v>
      </c>
      <c r="Y470" s="67"/>
      <c r="Z470" s="123" t="s">
        <v>1041</v>
      </c>
      <c r="AA470" s="123" t="s">
        <v>1170</v>
      </c>
      <c r="AB470" s="123" t="s">
        <v>1173</v>
      </c>
      <c r="AC470" s="361"/>
    </row>
    <row r="471" spans="1:29" ht="39.950000000000003" customHeight="1">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t="shared" ca="1" si="29"/>
        <v>SI</v>
      </c>
      <c r="P471" s="67" t="str">
        <f t="shared" si="28"/>
        <v>DIANOSOL</v>
      </c>
      <c r="Q471" s="67" t="s">
        <v>1511</v>
      </c>
      <c r="R471" s="67" t="str">
        <f>VLOOKUP($Q471,Resultados!$A$1:$B$49,2,FALSE)</f>
        <v>Juicio Abreviado</v>
      </c>
      <c r="S471" s="67"/>
      <c r="T471" s="77" t="str">
        <f t="shared" si="27"/>
        <v>NO</v>
      </c>
      <c r="U471" s="77"/>
      <c r="V471" s="67"/>
      <c r="W471" s="67"/>
      <c r="X471" s="67" t="s">
        <v>2294</v>
      </c>
      <c r="Y471" s="67"/>
      <c r="Z471" s="123" t="s">
        <v>1042</v>
      </c>
      <c r="AA471" s="123" t="s">
        <v>743</v>
      </c>
      <c r="AB471" s="123" t="s">
        <v>1172</v>
      </c>
      <c r="AC471" s="361"/>
    </row>
    <row r="472" spans="1:29" ht="39.950000000000003" customHeight="1">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61"/>
    </row>
    <row r="473" spans="1:29" ht="39.950000000000003" customHeight="1">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2309</v>
      </c>
      <c r="Y473" s="67"/>
      <c r="Z473" s="123" t="s">
        <v>743</v>
      </c>
      <c r="AA473" s="123" t="s">
        <v>1170</v>
      </c>
      <c r="AB473" s="123" t="s">
        <v>1176</v>
      </c>
      <c r="AC473" s="361"/>
    </row>
    <row r="474" spans="1:29" ht="39.950000000000003" customHeight="1">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2308</v>
      </c>
      <c r="Y474" s="67"/>
      <c r="Z474" s="123" t="s">
        <v>1041</v>
      </c>
      <c r="AA474" s="123" t="s">
        <v>1168</v>
      </c>
      <c r="AB474" s="123" t="s">
        <v>1173</v>
      </c>
      <c r="AC474" s="361"/>
    </row>
    <row r="475" spans="1:29" ht="39.950000000000003" customHeight="1">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NO</v>
      </c>
      <c r="U475" s="77"/>
      <c r="V475" s="67"/>
      <c r="W475" s="74">
        <v>0.3576388888888889</v>
      </c>
      <c r="X475" s="67"/>
      <c r="Y475" s="67"/>
      <c r="Z475" s="123" t="s">
        <v>1042</v>
      </c>
      <c r="AA475" s="123" t="s">
        <v>1170</v>
      </c>
      <c r="AB475" s="123" t="s">
        <v>1172</v>
      </c>
      <c r="AC475" s="361"/>
    </row>
    <row r="476" spans="1:29" ht="39.950000000000003" customHeight="1">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2315</v>
      </c>
      <c r="Y476" s="67"/>
      <c r="Z476" s="123" t="s">
        <v>748</v>
      </c>
      <c r="AA476" s="123" t="s">
        <v>743</v>
      </c>
      <c r="AB476" s="123" t="s">
        <v>1174</v>
      </c>
      <c r="AC476" s="361"/>
    </row>
    <row r="477" spans="1:29" ht="39.950000000000003" customHeight="1">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61"/>
    </row>
    <row r="478" spans="1:29" ht="51">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2338</v>
      </c>
      <c r="Y478" s="67"/>
      <c r="Z478" s="123" t="s">
        <v>1041</v>
      </c>
      <c r="AA478" s="123" t="s">
        <v>1170</v>
      </c>
      <c r="AB478" s="123" t="s">
        <v>1173</v>
      </c>
      <c r="AC478" s="361"/>
    </row>
    <row r="479" spans="1:29" ht="63.75">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t="shared" ca="1" si="29"/>
        <v>SI</v>
      </c>
      <c r="P479" s="67" t="str">
        <f t="shared" si="28"/>
        <v>DIANOSOL</v>
      </c>
      <c r="Q479" s="67" t="s">
        <v>904</v>
      </c>
      <c r="R479" s="67" t="str">
        <f>VLOOKUP($Q479,Resultados!$A$1:$B$49,2,FALSE)</f>
        <v>Juicio Abreviado</v>
      </c>
      <c r="S479" s="74">
        <v>0.3756944444444445</v>
      </c>
      <c r="T479" s="77" t="str">
        <f t="shared" si="30"/>
        <v>NO</v>
      </c>
      <c r="U479" s="77"/>
      <c r="V479" s="67"/>
      <c r="W479" s="74">
        <v>0.38541666666666669</v>
      </c>
      <c r="X479" s="7" t="s">
        <v>2332</v>
      </c>
      <c r="Y479" s="67"/>
      <c r="Z479" s="123" t="s">
        <v>1042</v>
      </c>
      <c r="AA479" s="123" t="s">
        <v>743</v>
      </c>
      <c r="AB479" s="123" t="s">
        <v>1172</v>
      </c>
      <c r="AC479" s="361"/>
    </row>
    <row r="480" spans="1:29" ht="39.950000000000003" customHeight="1">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5" t="s">
        <v>2334</v>
      </c>
      <c r="Y480" s="67"/>
      <c r="Z480" s="123" t="s">
        <v>748</v>
      </c>
      <c r="AA480" s="123" t="s">
        <v>743</v>
      </c>
      <c r="AB480" s="123" t="s">
        <v>1174</v>
      </c>
      <c r="AC480" s="361"/>
    </row>
    <row r="481" spans="1:29" ht="38.25">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2336</v>
      </c>
      <c r="Y481" s="67"/>
      <c r="Z481" s="123" t="s">
        <v>743</v>
      </c>
      <c r="AA481" s="123" t="s">
        <v>1168</v>
      </c>
      <c r="AB481" s="123" t="s">
        <v>1175</v>
      </c>
      <c r="AC481" s="361"/>
    </row>
    <row r="482" spans="1:29" ht="39.950000000000003" customHeight="1">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61"/>
    </row>
    <row r="483" spans="1:29" ht="38.25">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SI</v>
      </c>
      <c r="U483" s="77"/>
      <c r="V483" s="67"/>
      <c r="W483" s="74">
        <v>0.42777777777777781</v>
      </c>
      <c r="X483" s="67" t="s">
        <v>2341</v>
      </c>
      <c r="Y483" s="67"/>
      <c r="Z483" s="123" t="s">
        <v>1041</v>
      </c>
      <c r="AA483" s="123" t="s">
        <v>743</v>
      </c>
      <c r="AB483" s="123" t="s">
        <v>1172</v>
      </c>
      <c r="AC483" s="361"/>
    </row>
    <row r="484" spans="1:29" ht="39.950000000000003" customHeight="1">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t="shared" ca="1" si="29"/>
        <v>SI</v>
      </c>
      <c r="P484" s="67" t="str">
        <f t="shared" si="28"/>
        <v>DIANOSOL</v>
      </c>
      <c r="Q484" s="67" t="s">
        <v>151</v>
      </c>
      <c r="R484" s="67" t="str">
        <f>VLOOKUP($Q484,Resultados!$A$1:$B$49,2,FALSE)</f>
        <v>Prisión Preventiva</v>
      </c>
      <c r="S484" s="74">
        <v>0.46111111111111108</v>
      </c>
      <c r="T484" s="77" t="str">
        <f t="shared" si="30"/>
        <v>SI</v>
      </c>
      <c r="U484" s="77"/>
      <c r="V484" s="67"/>
      <c r="W484" s="74">
        <v>0.4777777777777778</v>
      </c>
      <c r="X484" s="67" t="s">
        <v>2257</v>
      </c>
      <c r="Y484" s="67"/>
      <c r="Z484" s="123" t="s">
        <v>1042</v>
      </c>
      <c r="AA484" s="123" t="s">
        <v>743</v>
      </c>
      <c r="AB484" s="123" t="s">
        <v>1174</v>
      </c>
      <c r="AC484" s="361"/>
    </row>
    <row r="485" spans="1:29" ht="39.950000000000003" customHeight="1">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3" t="s">
        <v>748</v>
      </c>
      <c r="AA485" s="123" t="s">
        <v>1170</v>
      </c>
      <c r="AB485" s="123" t="s">
        <v>1172</v>
      </c>
      <c r="AC485" s="361"/>
    </row>
    <row r="486" spans="1:29" ht="39.950000000000003" customHeight="1">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t="shared" ca="1" si="29"/>
        <v>SI</v>
      </c>
      <c r="P486" s="67" t="str">
        <f t="shared" si="28"/>
        <v>DIANOSOL</v>
      </c>
      <c r="Q486" s="67" t="s">
        <v>904</v>
      </c>
      <c r="R486" s="67" t="str">
        <f>VLOOKUP($Q486,Resultados!$A$1:$B$49,2,FALSE)</f>
        <v>Juicio Abreviado</v>
      </c>
      <c r="S486" s="74">
        <v>0.35416666666666669</v>
      </c>
      <c r="T486" s="77" t="str">
        <f t="shared" si="30"/>
        <v>SI</v>
      </c>
      <c r="U486" s="77"/>
      <c r="V486" s="67"/>
      <c r="W486" s="74">
        <v>0.36249999999999999</v>
      </c>
      <c r="X486" s="67" t="s">
        <v>2361</v>
      </c>
      <c r="Y486" s="67"/>
      <c r="Z486" s="123" t="s">
        <v>743</v>
      </c>
      <c r="AA486" s="123" t="s">
        <v>2364</v>
      </c>
      <c r="AB486" s="123" t="s">
        <v>1175</v>
      </c>
      <c r="AC486" s="361"/>
    </row>
    <row r="487" spans="1:29" ht="39.950000000000003" customHeight="1">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61"/>
    </row>
    <row r="488" spans="1:29" ht="38.25">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t="shared" ca="1" si="29"/>
        <v>SI</v>
      </c>
      <c r="P488" s="67" t="str">
        <f t="shared" si="28"/>
        <v>DIANOSOL</v>
      </c>
      <c r="Q488" s="67" t="s">
        <v>151</v>
      </c>
      <c r="R488" s="67" t="str">
        <f>VLOOKUP($Q488,Resultados!$A$1:$B$49,2,FALSE)</f>
        <v>Prisión Preventiva</v>
      </c>
      <c r="S488" s="74">
        <v>0.39374999999999999</v>
      </c>
      <c r="T488" s="77" t="str">
        <f t="shared" si="30"/>
        <v>NO</v>
      </c>
      <c r="U488" s="77"/>
      <c r="V488" s="67"/>
      <c r="W488" s="74">
        <v>0.42222222222222222</v>
      </c>
      <c r="X488" s="67"/>
      <c r="Y488" s="67"/>
      <c r="Z488" s="123" t="s">
        <v>1041</v>
      </c>
      <c r="AA488" s="123" t="s">
        <v>1168</v>
      </c>
      <c r="AB488" s="123" t="s">
        <v>1172</v>
      </c>
      <c r="AC488" s="361"/>
    </row>
    <row r="489" spans="1:29" ht="39.950000000000003" customHeight="1">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2370</v>
      </c>
      <c r="Y489" s="7"/>
      <c r="Z489" s="123" t="s">
        <v>1042</v>
      </c>
      <c r="AA489" s="123" t="s">
        <v>1170</v>
      </c>
      <c r="AB489" s="123" t="s">
        <v>1174</v>
      </c>
      <c r="AC489" s="361"/>
    </row>
    <row r="490" spans="1:29" ht="39.950000000000003" customHeight="1">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t="shared" ca="1" si="29"/>
        <v>SI</v>
      </c>
      <c r="P490" s="67" t="str">
        <f t="shared" si="28"/>
        <v>DIANOSOL</v>
      </c>
      <c r="Q490" s="67" t="s">
        <v>151</v>
      </c>
      <c r="R490" s="67" t="str">
        <f>VLOOKUP($Q490,Resultados!$A$1:$B$49,2,FALSE)</f>
        <v>Prisión Preventiva</v>
      </c>
      <c r="S490" s="67" t="s">
        <v>1133</v>
      </c>
      <c r="T490" s="77" t="str">
        <f t="shared" si="30"/>
        <v>NO</v>
      </c>
      <c r="U490" s="77"/>
      <c r="V490" s="67"/>
      <c r="W490" s="67" t="s">
        <v>1496</v>
      </c>
      <c r="X490" s="67" t="s">
        <v>2153</v>
      </c>
      <c r="Y490" s="67"/>
      <c r="Z490" s="123" t="s">
        <v>748</v>
      </c>
      <c r="AA490" s="123" t="s">
        <v>1168</v>
      </c>
      <c r="AB490" s="123" t="s">
        <v>1175</v>
      </c>
      <c r="AC490" s="361"/>
    </row>
    <row r="491" spans="1:29" ht="39.950000000000003" customHeight="1">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2379</v>
      </c>
      <c r="Y491" s="67"/>
      <c r="Z491" s="123" t="s">
        <v>743</v>
      </c>
      <c r="AA491" s="123" t="s">
        <v>1170</v>
      </c>
      <c r="AB491" s="123" t="s">
        <v>1173</v>
      </c>
      <c r="AC491" s="361"/>
    </row>
    <row r="492" spans="1:29" ht="39.950000000000003" customHeight="1">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t="shared" ca="1" si="29"/>
        <v>SI</v>
      </c>
      <c r="P492" s="67" t="str">
        <f t="shared" si="28"/>
        <v>DIANOSOL</v>
      </c>
      <c r="Q492" s="67" t="s">
        <v>151</v>
      </c>
      <c r="R492" s="67" t="str">
        <f>VLOOKUP($Q492,Resultados!$A$1:$B$49,2,FALSE)</f>
        <v>Prisión Preventiva</v>
      </c>
      <c r="S492" s="67" t="s">
        <v>1291</v>
      </c>
      <c r="T492" s="77" t="str">
        <f t="shared" si="30"/>
        <v>SI</v>
      </c>
      <c r="U492" s="77"/>
      <c r="V492" s="67"/>
      <c r="W492" s="67" t="s">
        <v>1608</v>
      </c>
      <c r="X492" s="67" t="s">
        <v>2383</v>
      </c>
      <c r="Y492" s="67"/>
      <c r="Z492" s="123" t="s">
        <v>770</v>
      </c>
      <c r="AA492" s="123" t="s">
        <v>1170</v>
      </c>
      <c r="AB492" s="123" t="s">
        <v>1172</v>
      </c>
      <c r="AC492" s="361"/>
    </row>
    <row r="493" spans="1:29" ht="39.950000000000003" customHeight="1">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t="shared" ca="1" si="29"/>
        <v>SI</v>
      </c>
      <c r="P493" s="67" t="str">
        <f t="shared" si="28"/>
        <v>DIANOSOL</v>
      </c>
      <c r="Q493" s="67" t="s">
        <v>899</v>
      </c>
      <c r="R493" s="67" t="str">
        <f>VLOOKUP($Q493,Resultados!$A$1:$B$49,2,FALSE)</f>
        <v>Libertad</v>
      </c>
      <c r="S493" s="67" t="s">
        <v>1295</v>
      </c>
      <c r="T493" s="77" t="str">
        <f t="shared" si="30"/>
        <v>NO</v>
      </c>
      <c r="U493" s="77"/>
      <c r="V493" s="67"/>
      <c r="W493" s="67" t="s">
        <v>1242</v>
      </c>
      <c r="X493" s="67" t="s">
        <v>2380</v>
      </c>
      <c r="Y493" s="67"/>
      <c r="Z493" s="123" t="s">
        <v>1041</v>
      </c>
      <c r="AA493" s="123" t="s">
        <v>743</v>
      </c>
      <c r="AB493" s="123" t="s">
        <v>1175</v>
      </c>
      <c r="AC493" s="361"/>
    </row>
    <row r="494" spans="1:29" ht="39.950000000000003" customHeight="1">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61"/>
    </row>
    <row r="495" spans="1:29" ht="38.25">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2382</v>
      </c>
      <c r="X495" s="155"/>
      <c r="Y495" s="67"/>
      <c r="Z495" s="123" t="s">
        <v>748</v>
      </c>
      <c r="AA495" s="123" t="s">
        <v>743</v>
      </c>
      <c r="AB495" s="123" t="s">
        <v>1172</v>
      </c>
      <c r="AC495" s="361"/>
    </row>
    <row r="496" spans="1:29" ht="63.75">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2386</v>
      </c>
      <c r="Y496" s="67"/>
      <c r="Z496" s="123" t="s">
        <v>743</v>
      </c>
      <c r="AA496" s="123" t="s">
        <v>1168</v>
      </c>
      <c r="AB496" s="123" t="s">
        <v>1175</v>
      </c>
      <c r="AC496" s="361"/>
    </row>
    <row r="497" spans="1:29" ht="39.950000000000003" customHeight="1">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4" t="s">
        <v>2388</v>
      </c>
      <c r="Y497" s="67"/>
      <c r="Z497" s="123" t="s">
        <v>770</v>
      </c>
      <c r="AA497" s="123" t="s">
        <v>1170</v>
      </c>
      <c r="AB497" s="123" t="s">
        <v>1173</v>
      </c>
      <c r="AC497" s="361"/>
    </row>
    <row r="498" spans="1:29" ht="39.950000000000003" customHeight="1">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t="shared" ca="1" si="29"/>
        <v>SI</v>
      </c>
      <c r="P498" s="67" t="str">
        <f t="shared" si="28"/>
        <v>DIANOSOL</v>
      </c>
      <c r="Q498" s="67" t="s">
        <v>151</v>
      </c>
      <c r="R498" s="67" t="str">
        <f>VLOOKUP($Q498,Resultados!$A$1:$B$49,2,FALSE)</f>
        <v>Prisión Preventiva</v>
      </c>
      <c r="S498" s="74">
        <v>0.36527777777777781</v>
      </c>
      <c r="T498" s="77" t="str">
        <f t="shared" si="30"/>
        <v>NO</v>
      </c>
      <c r="U498" s="77"/>
      <c r="V498" s="67"/>
      <c r="W498" s="74">
        <v>0.38194444444444442</v>
      </c>
      <c r="X498" s="258" t="s">
        <v>2406</v>
      </c>
      <c r="Y498" s="67"/>
      <c r="Z498" s="123" t="s">
        <v>1041</v>
      </c>
      <c r="AA498" s="123" t="s">
        <v>743</v>
      </c>
      <c r="AB498" s="123" t="s">
        <v>1172</v>
      </c>
      <c r="AC498" s="361"/>
    </row>
    <row r="499" spans="1:29" ht="39.950000000000003" customHeight="1">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2403</v>
      </c>
      <c r="Y499" s="67"/>
      <c r="Z499" s="123" t="s">
        <v>1042</v>
      </c>
      <c r="AA499" s="123" t="s">
        <v>1168</v>
      </c>
      <c r="AB499" s="123" t="s">
        <v>1174</v>
      </c>
      <c r="AC499" s="361"/>
    </row>
    <row r="500" spans="1:29" ht="39.950000000000003" customHeight="1">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61"/>
    </row>
    <row r="501" spans="1:29" ht="39.950000000000003" customHeight="1">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t="shared" ca="1" si="29"/>
        <v>SI</v>
      </c>
      <c r="P501" s="67" t="str">
        <f t="shared" si="28"/>
        <v>DIANOSOL</v>
      </c>
      <c r="Q501" s="67" t="s">
        <v>899</v>
      </c>
      <c r="R501" s="67" t="str">
        <f>VLOOKUP($Q501,Resultados!$A$1:$B$49,2,FALSE)</f>
        <v>Libertad</v>
      </c>
      <c r="S501" s="67" t="s">
        <v>1245</v>
      </c>
      <c r="T501" s="77" t="str">
        <f t="shared" si="30"/>
        <v>SI</v>
      </c>
      <c r="U501" s="77"/>
      <c r="V501" s="67"/>
      <c r="W501" s="67" t="s">
        <v>1291</v>
      </c>
      <c r="X501" s="228" t="s">
        <v>2409</v>
      </c>
      <c r="Y501" s="67"/>
      <c r="Z501" s="123" t="s">
        <v>770</v>
      </c>
      <c r="AA501" s="123" t="s">
        <v>1168</v>
      </c>
      <c r="AB501" s="123" t="s">
        <v>1173</v>
      </c>
      <c r="AC501" s="361"/>
    </row>
    <row r="502" spans="1:29" ht="39.950000000000003" customHeight="1">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2407</v>
      </c>
      <c r="Y502" s="67"/>
      <c r="Z502" s="123" t="s">
        <v>1041</v>
      </c>
      <c r="AA502" s="123" t="s">
        <v>743</v>
      </c>
      <c r="AB502" s="123" t="s">
        <v>1172</v>
      </c>
      <c r="AC502" s="361"/>
    </row>
    <row r="503" spans="1:29" ht="39.950000000000003" customHeight="1">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29" t="s">
        <v>2424</v>
      </c>
      <c r="Y503" s="67"/>
      <c r="Z503" s="123" t="s">
        <v>1042</v>
      </c>
      <c r="AA503" s="123" t="s">
        <v>1168</v>
      </c>
      <c r="AB503" s="123" t="s">
        <v>1174</v>
      </c>
      <c r="AC503" s="361"/>
    </row>
    <row r="504" spans="1:29" ht="39.950000000000003" customHeight="1">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70" t="s">
        <v>2425</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70" t="s">
        <v>2426</v>
      </c>
      <c r="Y504" s="68"/>
      <c r="Z504" s="336" t="s">
        <v>748</v>
      </c>
      <c r="AA504" s="123" t="s">
        <v>1170</v>
      </c>
      <c r="AB504" s="123" t="s">
        <v>1176</v>
      </c>
      <c r="AC504" s="361"/>
    </row>
    <row r="505" spans="1:29" ht="39.950000000000003" customHeight="1">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2429</v>
      </c>
      <c r="Y505" s="67"/>
      <c r="Z505" s="123" t="s">
        <v>743</v>
      </c>
      <c r="AA505" s="123" t="s">
        <v>1168</v>
      </c>
      <c r="AB505" s="123" t="s">
        <v>1172</v>
      </c>
      <c r="AC505" s="361"/>
    </row>
    <row r="506" spans="1:29" ht="39.950000000000003" customHeight="1">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t="shared" ca="1" si="29"/>
        <v>SI</v>
      </c>
      <c r="P506" s="67" t="str">
        <f t="shared" si="28"/>
        <v>DIANOSOL</v>
      </c>
      <c r="Q506" s="67" t="s">
        <v>904</v>
      </c>
      <c r="R506" s="67" t="str">
        <f>VLOOKUP($Q506,Resultados!$A$1:$B$49,2,FALSE)</f>
        <v>Juicio Abreviado</v>
      </c>
      <c r="S506" s="67"/>
      <c r="T506" s="77" t="str">
        <f t="shared" si="31"/>
        <v>NO</v>
      </c>
      <c r="U506" s="77"/>
      <c r="V506" s="67"/>
      <c r="W506" s="67"/>
      <c r="X506" s="67"/>
      <c r="Y506" s="67"/>
      <c r="Z506" s="123" t="s">
        <v>770</v>
      </c>
      <c r="AA506" s="123" t="s">
        <v>743</v>
      </c>
      <c r="AB506" s="123" t="s">
        <v>1173</v>
      </c>
      <c r="AC506" s="361"/>
    </row>
    <row r="507" spans="1:29" ht="39.950000000000003" customHeight="1">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t="shared" ca="1" si="29"/>
        <v>SI</v>
      </c>
      <c r="P507" s="67" t="str">
        <f t="shared" si="28"/>
        <v>DIANOSOL</v>
      </c>
      <c r="Q507" s="67" t="s">
        <v>904</v>
      </c>
      <c r="R507" s="67" t="str">
        <f>VLOOKUP($Q507,Resultados!$A$1:$B$49,2,FALSE)</f>
        <v>Juicio Abreviado</v>
      </c>
      <c r="S507" s="74">
        <v>0.4201388888888889</v>
      </c>
      <c r="T507" s="77" t="str">
        <f t="shared" si="31"/>
        <v>NO</v>
      </c>
      <c r="U507" s="77"/>
      <c r="V507" s="67"/>
      <c r="W507" s="74">
        <v>0.4375</v>
      </c>
      <c r="X507" s="229" t="s">
        <v>2433</v>
      </c>
      <c r="Y507" s="67"/>
      <c r="Z507" s="123" t="s">
        <v>1041</v>
      </c>
      <c r="AA507" s="123" t="s">
        <v>743</v>
      </c>
      <c r="AB507" s="123" t="s">
        <v>1172</v>
      </c>
      <c r="AC507" s="361"/>
    </row>
    <row r="508" spans="1:29" ht="39.950000000000003" customHeight="1">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70" t="s">
        <v>2430</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2431</v>
      </c>
      <c r="Y508" s="67"/>
      <c r="Z508" s="123" t="s">
        <v>1042</v>
      </c>
      <c r="AA508" s="123" t="s">
        <v>1170</v>
      </c>
      <c r="AB508" s="123" t="s">
        <v>1174</v>
      </c>
      <c r="AC508" s="361"/>
    </row>
    <row r="509" spans="1:29" ht="63.75">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2443</v>
      </c>
      <c r="Y509" s="67"/>
      <c r="Z509" s="123" t="s">
        <v>748</v>
      </c>
      <c r="AA509" s="123" t="s">
        <v>1170</v>
      </c>
      <c r="AB509" s="123" t="s">
        <v>1176</v>
      </c>
      <c r="AC509" s="361"/>
    </row>
    <row r="510" spans="1:29" ht="63.75">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2453</v>
      </c>
      <c r="Y510" s="67"/>
      <c r="Z510" s="123" t="s">
        <v>743</v>
      </c>
      <c r="AA510" s="123" t="s">
        <v>1168</v>
      </c>
      <c r="AB510" s="123" t="s">
        <v>1175</v>
      </c>
      <c r="AC510" s="361"/>
    </row>
    <row r="511" spans="1:29" ht="89.25">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t="shared" ca="1" si="29"/>
        <v>SI</v>
      </c>
      <c r="P511" s="67" t="str">
        <f t="shared" si="28"/>
        <v>DIANOSOL</v>
      </c>
      <c r="Q511" s="67" t="s">
        <v>974</v>
      </c>
      <c r="R511" s="67" t="str">
        <f>VLOOKUP($Q511,Resultados!$A$1:$B$49,2,FALSE)</f>
        <v>Prision domiciliaria</v>
      </c>
      <c r="S511" s="74">
        <v>0.34722222222222227</v>
      </c>
      <c r="T511" s="77" t="str">
        <f t="shared" si="31"/>
        <v>NO</v>
      </c>
      <c r="U511" s="77"/>
      <c r="V511" s="67"/>
      <c r="W511" s="74">
        <v>0.37847222222222227</v>
      </c>
      <c r="X511" s="67"/>
      <c r="Y511" s="67"/>
      <c r="Z511" s="123" t="s">
        <v>770</v>
      </c>
      <c r="AA511" s="123" t="s">
        <v>743</v>
      </c>
      <c r="AB511" s="123" t="s">
        <v>1173</v>
      </c>
      <c r="AC511" s="361"/>
    </row>
    <row r="512" spans="1:29" ht="1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2446</v>
      </c>
      <c r="AA512" s="123" t="s">
        <v>743</v>
      </c>
      <c r="AB512" s="123" t="s">
        <v>1172</v>
      </c>
      <c r="AC512" s="361"/>
    </row>
    <row r="513" spans="1:29" ht="63.75">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t="shared" ca="1" si="29"/>
        <v>SI</v>
      </c>
      <c r="P513" s="67" t="str">
        <f t="shared" si="28"/>
        <v>DIANOSOL</v>
      </c>
      <c r="Q513" s="67" t="s">
        <v>904</v>
      </c>
      <c r="R513" s="67" t="str">
        <f>VLOOKUP($Q513,Resultados!$A$1:$B$49,2,FALSE)</f>
        <v>Juicio Abreviado</v>
      </c>
      <c r="S513" s="74">
        <v>0.38263888888888892</v>
      </c>
      <c r="T513" s="77" t="str">
        <f t="shared" si="31"/>
        <v>NO</v>
      </c>
      <c r="U513" s="77"/>
      <c r="V513" s="67"/>
      <c r="W513" s="74">
        <v>0.39374999999999999</v>
      </c>
      <c r="X513" s="67"/>
      <c r="Y513" s="67"/>
      <c r="Z513" s="123" t="s">
        <v>748</v>
      </c>
      <c r="AA513" s="123" t="s">
        <v>1170</v>
      </c>
      <c r="AB513" s="123" t="s">
        <v>1175</v>
      </c>
      <c r="AC513" s="361"/>
    </row>
    <row r="514" spans="1:29" ht="51">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t="shared" ca="1" si="29"/>
        <v>SI</v>
      </c>
      <c r="P514" s="67" t="str">
        <f t="shared" si="28"/>
        <v>DIANOSOL</v>
      </c>
      <c r="Q514" s="67" t="s">
        <v>905</v>
      </c>
      <c r="R514" s="67" t="str">
        <f>VLOOKUP($Q514,Resultados!$A$1:$B$49,2,FALSE)</f>
        <v>Juicio Abreviado</v>
      </c>
      <c r="S514" s="74">
        <v>0.45</v>
      </c>
      <c r="T514" s="77" t="str">
        <f t="shared" si="31"/>
        <v>SI</v>
      </c>
      <c r="U514" s="77"/>
      <c r="V514" s="67"/>
      <c r="W514" s="74">
        <v>0.46527777777777773</v>
      </c>
      <c r="X514" s="68" t="s">
        <v>2692</v>
      </c>
      <c r="Y514" s="67"/>
      <c r="Z514" s="123" t="s">
        <v>1041</v>
      </c>
      <c r="AA514" s="123" t="s">
        <v>1170</v>
      </c>
      <c r="AB514" s="123" t="s">
        <v>1174</v>
      </c>
      <c r="AC514" s="361"/>
    </row>
    <row r="515" spans="1:29" ht="51">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61"/>
    </row>
    <row r="516" spans="1:29" ht="39.950000000000003" customHeight="1">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2452</v>
      </c>
      <c r="Y516" s="67"/>
      <c r="Z516" s="123" t="s">
        <v>743</v>
      </c>
      <c r="AA516" s="123" t="s">
        <v>743</v>
      </c>
      <c r="AB516" s="123" t="s">
        <v>1173</v>
      </c>
      <c r="AC516" s="361"/>
    </row>
    <row r="517" spans="1:29" ht="39.950000000000003" customHeight="1">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2478</v>
      </c>
      <c r="Y517" s="67"/>
      <c r="Z517" s="123" t="s">
        <v>770</v>
      </c>
      <c r="AA517" s="123" t="s">
        <v>743</v>
      </c>
      <c r="AB517" s="123" t="s">
        <v>1172</v>
      </c>
      <c r="AC517" s="361"/>
    </row>
    <row r="518" spans="1:29" ht="39.950000000000003" customHeight="1">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2480</v>
      </c>
      <c r="Y518" s="67"/>
      <c r="Z518" s="123" t="s">
        <v>1041</v>
      </c>
      <c r="AA518" s="123" t="s">
        <v>1168</v>
      </c>
      <c r="AB518" s="123" t="s">
        <v>1174</v>
      </c>
      <c r="AC518" s="361"/>
    </row>
    <row r="519" spans="1:29" ht="39.950000000000003" customHeight="1">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t="shared" ca="1" si="29"/>
        <v>SI</v>
      </c>
      <c r="P519" s="67" t="str">
        <f t="shared" si="32"/>
        <v>DIANOSOL</v>
      </c>
      <c r="Q519" s="67" t="s">
        <v>905</v>
      </c>
      <c r="R519" s="67" t="str">
        <f>VLOOKUP($Q519,Resultados!$A$1:$B$49,2,FALSE)</f>
        <v>Juicio Abreviado</v>
      </c>
      <c r="S519" s="74">
        <v>0.34166666666666662</v>
      </c>
      <c r="T519" s="77" t="str">
        <f t="shared" si="31"/>
        <v>NO</v>
      </c>
      <c r="U519" s="77"/>
      <c r="V519" s="67"/>
      <c r="W519" s="74">
        <v>0.34722222222222227</v>
      </c>
      <c r="X519" s="67"/>
      <c r="Y519" s="67"/>
      <c r="Z519" s="123" t="s">
        <v>1042</v>
      </c>
      <c r="AA519" s="123" t="s">
        <v>1168</v>
      </c>
      <c r="AB519" s="123" t="s">
        <v>1175</v>
      </c>
      <c r="AC519" s="361"/>
    </row>
    <row r="520" spans="1:29" ht="39.950000000000003" customHeight="1">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61"/>
    </row>
    <row r="521" spans="1:29" ht="39.950000000000003" customHeight="1">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61"/>
    </row>
    <row r="522" spans="1:29" ht="39.950000000000003" customHeight="1">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t="shared" ca="1" si="29"/>
        <v>SI</v>
      </c>
      <c r="P522" s="67" t="str">
        <f t="shared" si="32"/>
        <v>DIANOSOL</v>
      </c>
      <c r="Q522" s="67" t="s">
        <v>151</v>
      </c>
      <c r="R522" s="67" t="str">
        <f>VLOOKUP($Q522,Resultados!$A$1:$B$49,2,FALSE)</f>
        <v>Prisión Preventiva</v>
      </c>
      <c r="S522" s="74">
        <v>0.38125000000000003</v>
      </c>
      <c r="T522" s="77" t="str">
        <f t="shared" si="31"/>
        <v>NO</v>
      </c>
      <c r="U522" s="77"/>
      <c r="V522" s="67"/>
      <c r="W522" s="74">
        <v>0.39861111111111108</v>
      </c>
      <c r="X522" s="67"/>
      <c r="Y522" s="67"/>
      <c r="Z522" s="123" t="s">
        <v>770</v>
      </c>
      <c r="AA522" s="123" t="s">
        <v>1170</v>
      </c>
      <c r="AB522" s="123" t="s">
        <v>1172</v>
      </c>
      <c r="AC522" s="361"/>
    </row>
    <row r="523" spans="1:29" ht="39.950000000000003" customHeight="1">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61"/>
    </row>
    <row r="524" spans="1:29" ht="39.950000000000003" customHeight="1">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NO</v>
      </c>
      <c r="U524" s="77"/>
      <c r="V524" s="67"/>
      <c r="W524" s="74">
        <v>0.38750000000000001</v>
      </c>
      <c r="X524" s="155"/>
      <c r="Y524" s="67"/>
      <c r="Z524" s="123" t="s">
        <v>1042</v>
      </c>
      <c r="AA524" s="123" t="s">
        <v>1168</v>
      </c>
      <c r="AB524" s="123" t="s">
        <v>1176</v>
      </c>
      <c r="AC524" s="361"/>
    </row>
    <row r="525" spans="1:29" ht="39.950000000000003" customHeight="1">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2546</v>
      </c>
      <c r="Y525" s="67"/>
      <c r="Z525" s="123" t="s">
        <v>748</v>
      </c>
      <c r="AA525" s="123"/>
      <c r="AB525" s="123" t="s">
        <v>1175</v>
      </c>
      <c r="AC525" s="361"/>
    </row>
    <row r="526" spans="1:29" ht="39.950000000000003" customHeight="1">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SI</v>
      </c>
      <c r="U526" s="77"/>
      <c r="V526" s="67"/>
      <c r="W526" s="74">
        <v>0.3666666666666667</v>
      </c>
      <c r="X526" s="67" t="s">
        <v>2512</v>
      </c>
      <c r="Y526" s="67"/>
      <c r="Z526" s="123" t="s">
        <v>743</v>
      </c>
      <c r="AA526" s="123" t="s">
        <v>1168</v>
      </c>
      <c r="AB526" s="123" t="s">
        <v>1173</v>
      </c>
      <c r="AC526" s="361"/>
    </row>
    <row r="527" spans="1:29" ht="39.950000000000003" customHeight="1">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61"/>
    </row>
    <row r="528" spans="1:29" ht="39.950000000000003" customHeight="1">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5"/>
      <c r="Y528" s="67"/>
      <c r="Z528" s="123" t="s">
        <v>1041</v>
      </c>
      <c r="AA528" s="123" t="s">
        <v>1170</v>
      </c>
      <c r="AB528" s="123" t="s">
        <v>1174</v>
      </c>
      <c r="AC528" s="361"/>
    </row>
    <row r="529" spans="1:29" ht="39.950000000000003" customHeight="1">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2536</v>
      </c>
      <c r="Y529" s="67"/>
      <c r="Z529" s="123" t="s">
        <v>748</v>
      </c>
      <c r="AA529" s="123" t="s">
        <v>743</v>
      </c>
      <c r="AB529" s="123" t="s">
        <v>1173</v>
      </c>
      <c r="AC529" s="361"/>
    </row>
    <row r="530" spans="1:29" ht="39.950000000000003" customHeight="1">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t="shared" ca="1" si="33"/>
        <v>SI</v>
      </c>
      <c r="P530" s="67" t="str">
        <f t="shared" si="32"/>
        <v>DIANOSOL</v>
      </c>
      <c r="Q530" s="67" t="s">
        <v>905</v>
      </c>
      <c r="R530" s="67" t="str">
        <f>VLOOKUP($Q530,Resultados!$A$1:$B$49,2,FALSE)</f>
        <v>Juicio Abreviado</v>
      </c>
      <c r="S530" s="74">
        <v>0.3527777777777778</v>
      </c>
      <c r="T530" s="77" t="str">
        <f t="shared" si="31"/>
        <v>NO</v>
      </c>
      <c r="U530" s="77"/>
      <c r="V530" s="67"/>
      <c r="W530" s="74">
        <v>0.36805555555555558</v>
      </c>
      <c r="X530" s="155"/>
      <c r="Y530" s="67"/>
      <c r="Z530" s="123" t="s">
        <v>743</v>
      </c>
      <c r="AA530" s="123" t="s">
        <v>1170</v>
      </c>
      <c r="AB530" s="123" t="s">
        <v>1172</v>
      </c>
      <c r="AC530" s="361"/>
    </row>
    <row r="531" spans="1:29" ht="39.950000000000003" customHeight="1">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61"/>
    </row>
    <row r="532" spans="1:29" ht="39.950000000000003" customHeight="1">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t="shared" ca="1" si="33"/>
        <v>SI</v>
      </c>
      <c r="P532" s="67" t="str">
        <f t="shared" si="32"/>
        <v>DIANOSOL</v>
      </c>
      <c r="Q532" s="67" t="s">
        <v>899</v>
      </c>
      <c r="R532" s="67" t="str">
        <f>VLOOKUP($Q532,Resultados!$A$1:$B$49,2,FALSE)</f>
        <v>Libertad</v>
      </c>
      <c r="S532" s="74">
        <v>0.38194444444444442</v>
      </c>
      <c r="T532" s="77" t="str">
        <f t="shared" ref="T532:T563" si="34">IF(G532=$J$1,"SI","NO")</f>
        <v>NO</v>
      </c>
      <c r="U532" s="77"/>
      <c r="V532" s="67"/>
      <c r="W532" s="74">
        <v>0.39652777777777781</v>
      </c>
      <c r="X532" s="67" t="s">
        <v>2519</v>
      </c>
      <c r="Y532" s="67"/>
      <c r="Z532" s="123" t="s">
        <v>1042</v>
      </c>
      <c r="AA532" s="123" t="s">
        <v>1170</v>
      </c>
      <c r="AB532" s="123" t="s">
        <v>1173</v>
      </c>
      <c r="AC532" s="361"/>
    </row>
    <row r="533" spans="1:29" ht="39.950000000000003" customHeight="1">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t="shared" ca="1" si="33"/>
        <v>SI</v>
      </c>
      <c r="P533" s="67" t="str">
        <f t="shared" si="32"/>
        <v>DIANOSOL</v>
      </c>
      <c r="Q533" s="67" t="s">
        <v>899</v>
      </c>
      <c r="R533" s="67" t="str">
        <f>VLOOKUP($Q533,Resultados!$A$1:$B$49,2,FALSE)</f>
        <v>Libertad</v>
      </c>
      <c r="S533" s="74">
        <v>0.4916666666666667</v>
      </c>
      <c r="T533" s="77" t="str">
        <f t="shared" si="34"/>
        <v>SI</v>
      </c>
      <c r="U533" s="77"/>
      <c r="V533" s="67"/>
      <c r="W533" s="74">
        <v>0.51041666666666663</v>
      </c>
      <c r="X533" s="67"/>
      <c r="Y533" s="67"/>
      <c r="Z533" s="123" t="s">
        <v>1041</v>
      </c>
      <c r="AA533" s="123" t="s">
        <v>743</v>
      </c>
      <c r="AB533" s="123" t="s">
        <v>1176</v>
      </c>
      <c r="AC533" s="361"/>
    </row>
    <row r="534" spans="1:29" ht="39.950000000000003" customHeight="1">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t="shared" ca="1" si="33"/>
        <v>SI</v>
      </c>
      <c r="P534" s="67" t="str">
        <f t="shared" si="32"/>
        <v>DIANOSOL</v>
      </c>
      <c r="Q534" s="67" t="s">
        <v>899</v>
      </c>
      <c r="R534" s="67" t="str">
        <f>VLOOKUP($Q534,Resultados!$A$1:$B$49,2,FALSE)</f>
        <v>Libertad</v>
      </c>
      <c r="S534" s="67" t="s">
        <v>1915</v>
      </c>
      <c r="T534" s="77" t="str">
        <f t="shared" si="34"/>
        <v>NO</v>
      </c>
      <c r="U534" s="77"/>
      <c r="V534" s="67"/>
      <c r="W534" s="67" t="s">
        <v>2564</v>
      </c>
      <c r="X534" s="67"/>
      <c r="Y534" s="67"/>
      <c r="Z534" s="123" t="s">
        <v>748</v>
      </c>
      <c r="AA534" s="123" t="s">
        <v>743</v>
      </c>
      <c r="AB534" s="123" t="s">
        <v>1172</v>
      </c>
      <c r="AC534" s="361"/>
    </row>
    <row r="535" spans="1:29" ht="39.950000000000003" customHeight="1">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t="shared" ca="1" si="33"/>
        <v>SI</v>
      </c>
      <c r="P535" s="67" t="str">
        <f t="shared" si="32"/>
        <v>DIANOSOL</v>
      </c>
      <c r="Q535" s="67" t="s">
        <v>151</v>
      </c>
      <c r="R535" s="67" t="str">
        <f>VLOOKUP($Q535,Resultados!$A$1:$B$49,2,FALSE)</f>
        <v>Prisión Preventiva</v>
      </c>
      <c r="S535" s="67" t="s">
        <v>2552</v>
      </c>
      <c r="T535" s="77" t="str">
        <f t="shared" si="34"/>
        <v>NO</v>
      </c>
      <c r="U535" s="77"/>
      <c r="V535" s="67"/>
      <c r="W535" s="74">
        <v>0.35694444444444445</v>
      </c>
      <c r="X535" s="155"/>
      <c r="Y535" s="67"/>
      <c r="Z535" s="123" t="s">
        <v>743</v>
      </c>
      <c r="AA535" s="123" t="s">
        <v>1168</v>
      </c>
      <c r="AB535" s="123" t="s">
        <v>1174</v>
      </c>
      <c r="AC535" s="361"/>
    </row>
    <row r="536" spans="1:29" ht="39.950000000000003" customHeight="1">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NO</v>
      </c>
      <c r="U536" s="77"/>
      <c r="V536" s="67"/>
      <c r="W536" s="74">
        <v>0.35902777777777778</v>
      </c>
      <c r="X536" s="233" t="s">
        <v>2554</v>
      </c>
      <c r="Y536" s="67"/>
      <c r="Z536" s="123" t="s">
        <v>770</v>
      </c>
      <c r="AA536" s="123" t="s">
        <v>743</v>
      </c>
      <c r="AB536" s="123" t="s">
        <v>1173</v>
      </c>
      <c r="AC536" s="361"/>
    </row>
    <row r="537" spans="1:29" ht="76.5">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t="shared" ca="1" si="33"/>
        <v>SI</v>
      </c>
      <c r="P537" s="67" t="str">
        <f t="shared" si="32"/>
        <v>DIANOSOL</v>
      </c>
      <c r="Q537" s="67" t="s">
        <v>151</v>
      </c>
      <c r="R537" s="67" t="str">
        <f>VLOOKUP($Q537,Resultados!$A$1:$B$49,2,FALSE)</f>
        <v>Prisión Preventiva</v>
      </c>
      <c r="S537" s="74">
        <v>0.3756944444444445</v>
      </c>
      <c r="T537" s="77" t="str">
        <f t="shared" si="34"/>
        <v>SI</v>
      </c>
      <c r="U537" s="77"/>
      <c r="V537" s="67"/>
      <c r="W537" s="74">
        <v>0.40416666666666662</v>
      </c>
      <c r="X537" s="67"/>
      <c r="Y537" s="67"/>
      <c r="Z537" s="123" t="s">
        <v>1041</v>
      </c>
      <c r="AA537" s="123" t="s">
        <v>1170</v>
      </c>
      <c r="AB537" s="123" t="s">
        <v>1172</v>
      </c>
      <c r="AC537" s="361"/>
    </row>
    <row r="538" spans="1:29" ht="39.950000000000003" customHeight="1">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61"/>
    </row>
    <row r="539" spans="1:29" ht="114.75">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2557</v>
      </c>
      <c r="Y539" s="67"/>
      <c r="Z539" s="123" t="s">
        <v>748</v>
      </c>
      <c r="AA539" s="123" t="s">
        <v>743</v>
      </c>
      <c r="AB539" s="123" t="s">
        <v>1173</v>
      </c>
      <c r="AC539" s="361"/>
    </row>
    <row r="540" spans="1:29" ht="39.950000000000003" customHeight="1">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61"/>
    </row>
    <row r="541" spans="1:29" ht="39.950000000000003" customHeight="1">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t="shared" ca="1" si="33"/>
        <v>SI</v>
      </c>
      <c r="P541" s="67" t="str">
        <f t="shared" si="32"/>
        <v>DIANOSOL</v>
      </c>
      <c r="Q541" s="67" t="s">
        <v>899</v>
      </c>
      <c r="R541" s="67" t="str">
        <f>VLOOKUP($Q541,Resultados!$A$1:$B$49,2,FALSE)</f>
        <v>Libertad</v>
      </c>
      <c r="S541" s="74">
        <v>0.3611111111111111</v>
      </c>
      <c r="T541" s="77" t="str">
        <f t="shared" si="34"/>
        <v>SI</v>
      </c>
      <c r="U541" s="77"/>
      <c r="V541" s="67"/>
      <c r="W541" s="74">
        <v>0.36736111111111108</v>
      </c>
      <c r="X541" s="67" t="s">
        <v>2567</v>
      </c>
      <c r="Y541" s="67"/>
      <c r="Z541" s="123" t="s">
        <v>1041</v>
      </c>
      <c r="AA541" s="123" t="s">
        <v>1168</v>
      </c>
      <c r="AB541" s="123" t="s">
        <v>1173</v>
      </c>
      <c r="AC541" s="361"/>
    </row>
    <row r="542" spans="1:29" ht="39.950000000000003" customHeight="1">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2568</v>
      </c>
      <c r="Y542" s="67"/>
      <c r="Z542" s="123" t="s">
        <v>1042</v>
      </c>
      <c r="AA542" s="123" t="s">
        <v>1170</v>
      </c>
      <c r="AB542" s="123" t="s">
        <v>1172</v>
      </c>
      <c r="AC542" s="361"/>
    </row>
    <row r="543" spans="1:29" ht="39.950000000000003" customHeight="1">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61"/>
    </row>
    <row r="544" spans="1:29" ht="39.950000000000003" customHeight="1">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3" t="s">
        <v>743</v>
      </c>
      <c r="AA544" s="123" t="s">
        <v>743</v>
      </c>
      <c r="AB544" s="123" t="s">
        <v>1176</v>
      </c>
      <c r="AC544" s="361"/>
    </row>
    <row r="545" spans="1:29" ht="39.950000000000003" customHeight="1">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t="shared" ca="1" si="33"/>
        <v>SI</v>
      </c>
      <c r="P545" s="67" t="str">
        <f t="shared" si="32"/>
        <v>DIANOSOL</v>
      </c>
      <c r="Q545" s="67" t="s">
        <v>151</v>
      </c>
      <c r="R545" s="67" t="str">
        <f>VLOOKUP($Q545,Resultados!$A$1:$B$49,2,FALSE)</f>
        <v>Prisión Preventiva</v>
      </c>
      <c r="S545" s="74">
        <v>0.375</v>
      </c>
      <c r="T545" s="77" t="str">
        <f t="shared" si="34"/>
        <v>NO</v>
      </c>
      <c r="U545" s="77"/>
      <c r="V545" s="67"/>
      <c r="W545" s="74">
        <v>0.38194444444444442</v>
      </c>
      <c r="X545" s="67"/>
      <c r="Y545" s="67"/>
      <c r="Z545" s="123" t="s">
        <v>1041</v>
      </c>
      <c r="AA545" s="123" t="s">
        <v>1170</v>
      </c>
      <c r="AB545" s="123" t="s">
        <v>1175</v>
      </c>
      <c r="AC545" s="361"/>
    </row>
    <row r="546" spans="1:29" ht="39.950000000000003" customHeight="1">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t="shared" ca="1" si="33"/>
        <v>SI</v>
      </c>
      <c r="P546" s="67" t="str">
        <f t="shared" si="32"/>
        <v>DIANOSOL</v>
      </c>
      <c r="Q546" s="67" t="s">
        <v>904</v>
      </c>
      <c r="R546" s="67" t="str">
        <f>VLOOKUP($Q546,Resultados!$A$1:$B$49,2,FALSE)</f>
        <v>Juicio Abreviado</v>
      </c>
      <c r="S546" s="74">
        <v>0.38680555555555557</v>
      </c>
      <c r="T546" s="77" t="str">
        <f t="shared" si="34"/>
        <v>NO</v>
      </c>
      <c r="U546" s="77"/>
      <c r="V546" s="67"/>
      <c r="W546" s="74">
        <v>0.39444444444444443</v>
      </c>
      <c r="X546" s="67"/>
      <c r="Y546" s="67"/>
      <c r="Z546" s="123" t="s">
        <v>1042</v>
      </c>
      <c r="AA546" s="123" t="s">
        <v>1168</v>
      </c>
      <c r="AB546" s="123" t="s">
        <v>1173</v>
      </c>
      <c r="AC546" s="361"/>
    </row>
    <row r="547" spans="1:29" ht="39.950000000000003" customHeight="1">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61"/>
    </row>
    <row r="548" spans="1:29" ht="39.950000000000003" customHeight="1">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t="shared" ca="1" si="33"/>
        <v>SI</v>
      </c>
      <c r="P548" s="67" t="str">
        <f t="shared" si="32"/>
        <v>DIANOSOL</v>
      </c>
      <c r="Q548" s="67" t="s">
        <v>904</v>
      </c>
      <c r="R548" s="67" t="str">
        <f>VLOOKUP($Q548,Resultados!$A$1:$B$49,2,FALSE)</f>
        <v>Juicio Abreviado</v>
      </c>
      <c r="S548" s="74" t="s">
        <v>2588</v>
      </c>
      <c r="T548" s="77" t="str">
        <f t="shared" si="34"/>
        <v>NO</v>
      </c>
      <c r="U548" s="77"/>
      <c r="V548" s="67"/>
      <c r="W548" s="67" t="s">
        <v>1133</v>
      </c>
      <c r="X548" s="67"/>
      <c r="Y548" s="67"/>
      <c r="Z548" s="123" t="s">
        <v>770</v>
      </c>
      <c r="AA548" s="123" t="s">
        <v>1170</v>
      </c>
      <c r="AB548" s="123" t="s">
        <v>1176</v>
      </c>
      <c r="AC548" s="361"/>
    </row>
    <row r="549" spans="1:29" ht="39.950000000000003" customHeight="1">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t="shared" ca="1" si="33"/>
        <v>SI</v>
      </c>
      <c r="P549" s="67" t="str">
        <f t="shared" si="32"/>
        <v>DIANOSOL</v>
      </c>
      <c r="Q549" s="67" t="s">
        <v>904</v>
      </c>
      <c r="R549" s="67" t="str">
        <f>VLOOKUP($Q549,Resultados!$A$1:$B$49,2,FALSE)</f>
        <v>Juicio Abreviado</v>
      </c>
      <c r="S549" s="67" t="s">
        <v>2418</v>
      </c>
      <c r="T549" s="77" t="str">
        <f t="shared" si="34"/>
        <v>NO</v>
      </c>
      <c r="U549" s="77"/>
      <c r="V549" s="67"/>
      <c r="W549" s="67" t="s">
        <v>1291</v>
      </c>
      <c r="X549" s="67" t="s">
        <v>2568</v>
      </c>
      <c r="Y549" s="67"/>
      <c r="Z549" s="123" t="s">
        <v>1041</v>
      </c>
      <c r="AA549" s="123" t="s">
        <v>743</v>
      </c>
      <c r="AB549" s="123" t="s">
        <v>1175</v>
      </c>
      <c r="AC549" s="361"/>
    </row>
    <row r="550" spans="1:29" ht="39.950000000000003" customHeight="1">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t="shared" ca="1" si="33"/>
        <v>SI</v>
      </c>
      <c r="P550" s="67" t="str">
        <f t="shared" si="32"/>
        <v>DIANOSOL</v>
      </c>
      <c r="Q550" s="67" t="s">
        <v>899</v>
      </c>
      <c r="R550" s="67" t="str">
        <f>VLOOKUP($Q550,Resultados!$A$1:$B$49,2,FALSE)</f>
        <v>Libertad</v>
      </c>
      <c r="S550" s="67" t="s">
        <v>2058</v>
      </c>
      <c r="T550" s="77" t="str">
        <f t="shared" si="34"/>
        <v>NO</v>
      </c>
      <c r="U550" s="77"/>
      <c r="V550" s="67"/>
      <c r="W550" s="67" t="s">
        <v>1744</v>
      </c>
      <c r="X550" s="67" t="s">
        <v>2568</v>
      </c>
      <c r="Y550" s="67"/>
      <c r="Z550" s="123" t="s">
        <v>1042</v>
      </c>
      <c r="AA550" s="123" t="s">
        <v>743</v>
      </c>
      <c r="AB550" s="123" t="s">
        <v>1173</v>
      </c>
      <c r="AC550" s="361"/>
    </row>
    <row r="551" spans="1:29" ht="39.950000000000003" customHeight="1">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61"/>
    </row>
    <row r="552" spans="1:29" ht="39.950000000000003" customHeight="1">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1242</v>
      </c>
      <c r="X552" s="67"/>
      <c r="Y552" s="67"/>
      <c r="Z552" s="123" t="s">
        <v>743</v>
      </c>
      <c r="AA552" s="123" t="s">
        <v>1170</v>
      </c>
      <c r="AB552" s="123" t="s">
        <v>1174</v>
      </c>
      <c r="AC552" s="361"/>
    </row>
    <row r="553" spans="1:29" ht="39.950000000000003" customHeight="1">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t="shared" ca="1" si="33"/>
        <v>SI</v>
      </c>
      <c r="P553" s="67" t="str">
        <f t="shared" si="32"/>
        <v>DIANOSOL</v>
      </c>
      <c r="Q553" s="67" t="s">
        <v>899</v>
      </c>
      <c r="R553" s="67" t="str">
        <f>VLOOKUP($Q553,Resultados!$A$1:$B$49,2,FALSE)</f>
        <v>Libertad</v>
      </c>
      <c r="S553" s="67" t="s">
        <v>2676</v>
      </c>
      <c r="T553" s="77" t="str">
        <f t="shared" si="34"/>
        <v>NO</v>
      </c>
      <c r="U553" s="77"/>
      <c r="V553" s="67"/>
      <c r="W553" s="67" t="s">
        <v>1784</v>
      </c>
      <c r="X553" s="67"/>
      <c r="Y553" s="67"/>
      <c r="Z553" s="123" t="s">
        <v>770</v>
      </c>
      <c r="AA553" s="123" t="s">
        <v>743</v>
      </c>
      <c r="AB553" s="123" t="s">
        <v>1176</v>
      </c>
      <c r="AC553" s="361"/>
    </row>
    <row r="554" spans="1:29" ht="39.950000000000003" customHeight="1">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t="shared" ca="1" si="33"/>
        <v>SI</v>
      </c>
      <c r="P554" s="67" t="str">
        <f t="shared" si="32"/>
        <v>DIANOSOL</v>
      </c>
      <c r="Q554" s="67" t="s">
        <v>904</v>
      </c>
      <c r="R554" s="67" t="str">
        <f>VLOOKUP($Q554,Resultados!$A$1:$B$49,2,FALSE)</f>
        <v>Juicio Abreviado</v>
      </c>
      <c r="S554" s="67" t="s">
        <v>1122</v>
      </c>
      <c r="T554" s="77" t="str">
        <f t="shared" si="34"/>
        <v>NO</v>
      </c>
      <c r="U554" s="77"/>
      <c r="V554" s="67"/>
      <c r="W554" s="74">
        <v>0.37291666666666662</v>
      </c>
      <c r="X554" s="67" t="s">
        <v>2604</v>
      </c>
      <c r="Y554" s="67"/>
      <c r="Z554" s="123" t="s">
        <v>1041</v>
      </c>
      <c r="AA554" s="123" t="s">
        <v>1170</v>
      </c>
      <c r="AB554" s="123" t="s">
        <v>1175</v>
      </c>
      <c r="AC554" s="361"/>
    </row>
    <row r="555" spans="1:29" ht="39.950000000000003" customHeight="1">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2379</v>
      </c>
      <c r="Y555" s="67"/>
      <c r="Z555" s="123" t="s">
        <v>1042</v>
      </c>
      <c r="AA555" s="123" t="s">
        <v>1168</v>
      </c>
      <c r="AB555" s="123" t="s">
        <v>1173</v>
      </c>
      <c r="AC555" s="361"/>
    </row>
    <row r="556" spans="1:29" ht="39.950000000000003" customHeight="1">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61"/>
    </row>
    <row r="557" spans="1:29" ht="39.950000000000003" customHeight="1">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2614</v>
      </c>
      <c r="T557" s="77" t="str">
        <f t="shared" si="34"/>
        <v>SI</v>
      </c>
      <c r="U557" s="77"/>
      <c r="V557" s="67"/>
      <c r="W557" s="67" t="s">
        <v>1371</v>
      </c>
      <c r="X557" s="67"/>
      <c r="Y557" s="67"/>
      <c r="Z557" s="123" t="s">
        <v>743</v>
      </c>
      <c r="AA557" s="123" t="s">
        <v>1168</v>
      </c>
      <c r="AB557" s="123" t="s">
        <v>1174</v>
      </c>
      <c r="AC557" s="361"/>
    </row>
    <row r="558" spans="1:29" ht="173.25" customHeight="1">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61"/>
    </row>
    <row r="559" spans="1:29" ht="65.25" customHeight="1">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2634</v>
      </c>
      <c r="Y559" s="67"/>
      <c r="Z559" s="123" t="s">
        <v>1041</v>
      </c>
      <c r="AA559" s="123" t="s">
        <v>743</v>
      </c>
      <c r="AB559" s="123" t="s">
        <v>1172</v>
      </c>
      <c r="AC559" s="361"/>
    </row>
    <row r="560" spans="1:29" ht="39.950000000000003" customHeight="1">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t="shared" ca="1" si="33"/>
        <v>SI</v>
      </c>
      <c r="P560" s="67" t="str">
        <f t="shared" si="32"/>
        <v>DIANOSOL</v>
      </c>
      <c r="Q560" s="67" t="s">
        <v>151</v>
      </c>
      <c r="R560" s="67" t="str">
        <f>VLOOKUP($Q560,Resultados!$A$1:$B$49,2,FALSE)</f>
        <v>Prisión Preventiva</v>
      </c>
      <c r="S560" s="74">
        <v>0.3611111111111111</v>
      </c>
      <c r="T560" s="77" t="str">
        <f t="shared" si="34"/>
        <v>SI</v>
      </c>
      <c r="U560" s="77"/>
      <c r="V560" s="67"/>
      <c r="W560" s="74">
        <v>0.40625</v>
      </c>
      <c r="X560" s="67" t="s">
        <v>2650</v>
      </c>
      <c r="Y560" s="67"/>
      <c r="Z560" s="123" t="s">
        <v>1042</v>
      </c>
      <c r="AA560" s="123" t="s">
        <v>743</v>
      </c>
      <c r="AB560" s="123" t="s">
        <v>1174</v>
      </c>
      <c r="AC560" s="361"/>
    </row>
    <row r="561" spans="1:29" ht="39.950000000000003" customHeight="1">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NO</v>
      </c>
      <c r="U561" s="77"/>
      <c r="V561" s="67"/>
      <c r="W561" s="67" t="s">
        <v>1496</v>
      </c>
      <c r="X561" s="67"/>
      <c r="Y561" s="67"/>
      <c r="Z561" s="123" t="s">
        <v>748</v>
      </c>
      <c r="AA561" s="123" t="s">
        <v>1170</v>
      </c>
      <c r="AB561" s="123" t="s">
        <v>1175</v>
      </c>
      <c r="AC561" s="361"/>
    </row>
    <row r="562" spans="1:29" ht="39.950000000000003" customHeight="1">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t="shared" ca="1" si="33"/>
        <v>SI</v>
      </c>
      <c r="P562" s="67" t="str">
        <f t="shared" si="32"/>
        <v>DIANOSOL</v>
      </c>
      <c r="Q562" s="67" t="s">
        <v>905</v>
      </c>
      <c r="R562" s="67" t="str">
        <f>VLOOKUP($Q562,Resultados!$A$1:$B$49,2,FALSE)</f>
        <v>Juicio Abreviado</v>
      </c>
      <c r="S562" s="67" t="s">
        <v>1237</v>
      </c>
      <c r="T562" s="77" t="str">
        <f t="shared" si="34"/>
        <v>NO</v>
      </c>
      <c r="U562" s="77"/>
      <c r="V562" s="67"/>
      <c r="W562" s="67" t="s">
        <v>1009</v>
      </c>
      <c r="X562" s="67"/>
      <c r="Y562" s="67"/>
      <c r="Z562" s="123" t="s">
        <v>743</v>
      </c>
      <c r="AA562" s="123" t="s">
        <v>1168</v>
      </c>
      <c r="AB562" s="123" t="s">
        <v>1173</v>
      </c>
      <c r="AC562" s="361"/>
    </row>
    <row r="563" spans="1:29" ht="39.950000000000003" customHeight="1">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t="shared" ca="1" si="33"/>
        <v>SI</v>
      </c>
      <c r="P563" s="67" t="str">
        <f t="shared" si="32"/>
        <v>DIANOSOL</v>
      </c>
      <c r="Q563" s="67" t="s">
        <v>904</v>
      </c>
      <c r="R563" s="67" t="str">
        <f>VLOOKUP($Q563,Resultados!$A$1:$B$49,2,FALSE)</f>
        <v>Juicio Abreviado</v>
      </c>
      <c r="S563" s="67" t="s">
        <v>1371</v>
      </c>
      <c r="T563" s="77" t="str">
        <f t="shared" si="34"/>
        <v>NO</v>
      </c>
      <c r="U563" s="77"/>
      <c r="V563" s="67"/>
      <c r="W563" s="67" t="s">
        <v>2641</v>
      </c>
      <c r="X563" s="67"/>
      <c r="Y563" s="67"/>
      <c r="Z563" s="123" t="s">
        <v>770</v>
      </c>
      <c r="AA563" s="123" t="s">
        <v>1168</v>
      </c>
      <c r="AB563" s="123" t="s">
        <v>1172</v>
      </c>
      <c r="AC563" s="361"/>
    </row>
    <row r="564" spans="1:29" ht="39.950000000000003" customHeight="1">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NO</v>
      </c>
      <c r="U564" s="77"/>
      <c r="V564" s="67"/>
      <c r="W564" s="74">
        <v>0.37777777777777777</v>
      </c>
      <c r="X564" s="234" t="s">
        <v>2660</v>
      </c>
      <c r="Y564" s="67"/>
      <c r="Z564" s="123" t="s">
        <v>1041</v>
      </c>
      <c r="AA564" s="123" t="s">
        <v>1170</v>
      </c>
      <c r="AB564" s="123" t="s">
        <v>1174</v>
      </c>
      <c r="AC564" s="361"/>
    </row>
    <row r="565" spans="1:29" ht="39.950000000000003" customHeight="1">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2670</v>
      </c>
      <c r="Y565" s="67"/>
      <c r="Z565" s="123" t="s">
        <v>1042</v>
      </c>
      <c r="AA565" s="284" t="s">
        <v>1168</v>
      </c>
      <c r="AB565" s="123" t="s">
        <v>1172</v>
      </c>
      <c r="AC565" s="361"/>
    </row>
    <row r="566" spans="1:29" ht="39.950000000000003" customHeight="1">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3" t="s">
        <v>2668</v>
      </c>
      <c r="Y566" s="67"/>
      <c r="Z566" s="123" t="s">
        <v>748</v>
      </c>
      <c r="AA566" s="123" t="s">
        <v>743</v>
      </c>
      <c r="AB566" s="123" t="s">
        <v>1174</v>
      </c>
      <c r="AC566" s="361"/>
    </row>
    <row r="567" spans="1:29" ht="39.950000000000003" customHeight="1">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t="shared" ca="1" si="33"/>
        <v>SI</v>
      </c>
      <c r="P567" s="7" t="str">
        <f t="shared" si="32"/>
        <v>DIANOSOL</v>
      </c>
      <c r="Q567" s="7" t="s">
        <v>151</v>
      </c>
      <c r="R567" s="7" t="str">
        <f>VLOOKUP($Q567,Resultados!$A$1:$B$49,2,FALSE)</f>
        <v>Prisión Preventiva</v>
      </c>
      <c r="S567" s="15">
        <v>0.37916666666666665</v>
      </c>
      <c r="T567" s="72" t="str">
        <f t="shared" si="35"/>
        <v>NO</v>
      </c>
      <c r="U567" s="72"/>
      <c r="V567" s="7"/>
      <c r="W567" s="15">
        <v>0.40416666666666662</v>
      </c>
      <c r="X567" s="7"/>
      <c r="Y567" s="7"/>
      <c r="Z567" s="284" t="s">
        <v>743</v>
      </c>
      <c r="AA567" s="284" t="s">
        <v>743</v>
      </c>
      <c r="AB567" s="284" t="s">
        <v>1175</v>
      </c>
      <c r="AC567" s="361"/>
    </row>
    <row r="568" spans="1:29" ht="38.25">
      <c r="A568" s="267">
        <v>565</v>
      </c>
      <c r="B568" s="270">
        <v>45168</v>
      </c>
      <c r="C568" s="368">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t="shared" ca="1" si="33"/>
        <v>SI</v>
      </c>
      <c r="P568" s="7" t="str">
        <f t="shared" si="32"/>
        <v>DIANOSOL</v>
      </c>
      <c r="Q568" s="267" t="s">
        <v>905</v>
      </c>
      <c r="R568" s="7" t="str">
        <f>VLOOKUP($Q568,Resultados!$A$1:$B$49,2,FALSE)</f>
        <v>Juicio Abreviado</v>
      </c>
      <c r="S568" s="368">
        <v>0.39444444444444443</v>
      </c>
      <c r="T568" s="72" t="str">
        <f t="shared" si="35"/>
        <v>NO</v>
      </c>
      <c r="U568" s="269"/>
      <c r="V568" s="267"/>
      <c r="W568" s="368">
        <v>0.4152777777777778</v>
      </c>
      <c r="X568" s="267" t="s">
        <v>1505</v>
      </c>
      <c r="Y568" s="267"/>
      <c r="Z568" s="337" t="s">
        <v>770</v>
      </c>
      <c r="AA568" s="123" t="s">
        <v>1168</v>
      </c>
      <c r="AB568" s="337" t="s">
        <v>1173</v>
      </c>
      <c r="AC568" s="361"/>
    </row>
    <row r="569" spans="1:29" ht="38.25">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2659</v>
      </c>
      <c r="Y569" s="112"/>
      <c r="Z569" s="338" t="s">
        <v>1041</v>
      </c>
      <c r="AA569" s="338" t="s">
        <v>1168</v>
      </c>
      <c r="AB569" s="338" t="s">
        <v>1175</v>
      </c>
      <c r="AC569" s="361"/>
    </row>
    <row r="570" spans="1:29" ht="39.950000000000003" customHeight="1">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61"/>
    </row>
    <row r="571" spans="1:29" ht="39.950000000000003" customHeight="1">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t="shared" ca="1" si="33"/>
        <v>SI</v>
      </c>
      <c r="P571" s="67" t="str">
        <f t="shared" si="32"/>
        <v>DIANOSOL</v>
      </c>
      <c r="Q571" s="67" t="s">
        <v>899</v>
      </c>
      <c r="R571" s="67" t="str">
        <f>VLOOKUP($Q571,Resultados!$A$1:$B$49,2,FALSE)</f>
        <v>Libertad</v>
      </c>
      <c r="S571" s="67" t="s">
        <v>2678</v>
      </c>
      <c r="T571" s="77" t="str">
        <f t="shared" si="35"/>
        <v>NO</v>
      </c>
      <c r="U571" s="77"/>
      <c r="V571" s="67"/>
      <c r="W571" s="67" t="s">
        <v>1498</v>
      </c>
      <c r="X571" s="67" t="s">
        <v>2379</v>
      </c>
      <c r="Y571" s="67"/>
      <c r="Z571" s="123" t="s">
        <v>1041</v>
      </c>
      <c r="AA571" s="123" t="s">
        <v>1170</v>
      </c>
      <c r="AB571" s="123" t="s">
        <v>1172</v>
      </c>
      <c r="AC571" s="361"/>
    </row>
    <row r="572" spans="1:29" ht="39.950000000000003" customHeight="1">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2680</v>
      </c>
      <c r="Y572" s="67"/>
      <c r="Z572" s="123" t="s">
        <v>1042</v>
      </c>
      <c r="AA572" s="123" t="s">
        <v>743</v>
      </c>
      <c r="AB572" s="123" t="s">
        <v>1174</v>
      </c>
      <c r="AC572" s="361"/>
    </row>
    <row r="573" spans="1:29" ht="39.950000000000003" customHeight="1">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2681</v>
      </c>
      <c r="X573" s="67"/>
      <c r="Y573" s="67"/>
      <c r="Z573" s="123" t="s">
        <v>743</v>
      </c>
      <c r="AA573" s="123" t="s">
        <v>1168</v>
      </c>
      <c r="AB573" s="123" t="s">
        <v>1175</v>
      </c>
      <c r="AC573" s="361"/>
    </row>
    <row r="574" spans="1:29" ht="39.950000000000003" customHeight="1">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t="shared" ca="1" si="33"/>
        <v>SI</v>
      </c>
      <c r="P574" s="67" t="str">
        <f t="shared" si="32"/>
        <v>DIANOSOL</v>
      </c>
      <c r="Q574" s="67" t="s">
        <v>904</v>
      </c>
      <c r="R574" s="67" t="str">
        <f>VLOOKUP($Q574,Resultados!$A$1:$B$49,2,FALSE)</f>
        <v>Juicio Abreviado</v>
      </c>
      <c r="S574" s="67" t="s">
        <v>1336</v>
      </c>
      <c r="T574" s="77" t="str">
        <f t="shared" si="35"/>
        <v>NO</v>
      </c>
      <c r="U574" s="77"/>
      <c r="V574" s="67"/>
      <c r="W574" s="67" t="s">
        <v>2682</v>
      </c>
      <c r="X574" s="67" t="s">
        <v>2568</v>
      </c>
      <c r="Y574" s="67"/>
      <c r="Z574" s="123" t="s">
        <v>770</v>
      </c>
      <c r="AA574" s="123" t="s">
        <v>1168</v>
      </c>
      <c r="AB574" s="123" t="s">
        <v>1172</v>
      </c>
      <c r="AC574" s="361"/>
    </row>
    <row r="575" spans="1:29" ht="39.950000000000003" customHeight="1">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61"/>
    </row>
    <row r="576" spans="1:29" ht="106.5" customHeight="1">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61"/>
    </row>
    <row r="577" spans="1:29" ht="39.950000000000003" customHeight="1">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SI</v>
      </c>
      <c r="U577" s="77"/>
      <c r="V577" s="67"/>
      <c r="W577" s="67" t="s">
        <v>2707</v>
      </c>
      <c r="X577" s="67"/>
      <c r="Y577" s="67"/>
      <c r="Z577" s="123" t="s">
        <v>770</v>
      </c>
      <c r="AA577" s="123" t="s">
        <v>743</v>
      </c>
      <c r="AB577" s="123" t="s">
        <v>1175</v>
      </c>
      <c r="AC577" s="361"/>
    </row>
    <row r="578" spans="1:29" ht="39.950000000000003" customHeight="1">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t="shared" ca="1" si="33"/>
        <v>SI</v>
      </c>
      <c r="P578" s="67" t="str">
        <f t="shared" si="32"/>
        <v>DIANOSOL</v>
      </c>
      <c r="Q578" s="67" t="s">
        <v>905</v>
      </c>
      <c r="R578" s="67" t="str">
        <f>VLOOKUP($Q578,Resultados!$A$1:$B$49,2,FALSE)</f>
        <v>Juicio Abreviado</v>
      </c>
      <c r="S578" s="67" t="s">
        <v>2682</v>
      </c>
      <c r="T578" s="77" t="str">
        <f t="shared" si="35"/>
        <v>NO</v>
      </c>
      <c r="U578" s="77"/>
      <c r="V578" s="67"/>
      <c r="W578" s="67" t="s">
        <v>1275</v>
      </c>
      <c r="X578" s="67" t="s">
        <v>2706</v>
      </c>
      <c r="Y578" s="67"/>
      <c r="Z578" s="123" t="s">
        <v>2446</v>
      </c>
      <c r="AA578" s="123" t="s">
        <v>1170</v>
      </c>
      <c r="AB578" s="123" t="s">
        <v>1173</v>
      </c>
      <c r="AC578" s="361"/>
    </row>
    <row r="579" spans="1:29" ht="39.950000000000003" customHeight="1">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t="shared" ca="1" si="33"/>
        <v>SI</v>
      </c>
      <c r="P579" s="67" t="str">
        <f t="shared" ref="P579:P642" si="36">IF($P$1=H579,"DIASOL", "DIANOSOL")</f>
        <v>DIANOSOL</v>
      </c>
      <c r="Q579" s="67" t="s">
        <v>151</v>
      </c>
      <c r="R579" s="67" t="str">
        <f>VLOOKUP($Q579,Resultados!$A$1:$B$49,2,FALSE)</f>
        <v>Prisión Preventiva</v>
      </c>
      <c r="S579" s="67" t="s">
        <v>2704</v>
      </c>
      <c r="T579" s="77" t="str">
        <f t="shared" si="35"/>
        <v>NO</v>
      </c>
      <c r="U579" s="77"/>
      <c r="V579" s="67"/>
      <c r="W579" s="67" t="s">
        <v>1395</v>
      </c>
      <c r="X579" s="67" t="s">
        <v>2379</v>
      </c>
      <c r="Y579" s="67"/>
      <c r="Z579" s="123" t="s">
        <v>1041</v>
      </c>
      <c r="AA579" s="123" t="s">
        <v>1170</v>
      </c>
      <c r="AB579" s="123" t="s">
        <v>1172</v>
      </c>
      <c r="AC579" s="361"/>
    </row>
    <row r="580" spans="1:29" ht="39.950000000000003" customHeight="1">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61"/>
    </row>
    <row r="581" spans="1:29" ht="39.950000000000003" customHeight="1">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t="shared" ca="1" si="33"/>
        <v>SI</v>
      </c>
      <c r="P581" s="67" t="str">
        <f t="shared" si="36"/>
        <v>DIANOSOL</v>
      </c>
      <c r="Q581" s="67" t="s">
        <v>904</v>
      </c>
      <c r="R581" s="67" t="str">
        <f>VLOOKUP($Q581,Resultados!$A$1:$B$49,2,FALSE)</f>
        <v>Juicio Abreviado</v>
      </c>
      <c r="S581" s="67" t="s">
        <v>1050</v>
      </c>
      <c r="T581" s="77" t="str">
        <f t="shared" si="35"/>
        <v>NO</v>
      </c>
      <c r="U581" s="77"/>
      <c r="V581" s="67"/>
      <c r="W581" s="67" t="s">
        <v>2614</v>
      </c>
      <c r="X581" s="67"/>
      <c r="Y581" s="67"/>
      <c r="Z581" s="123" t="s">
        <v>748</v>
      </c>
      <c r="AA581" s="123" t="s">
        <v>1168</v>
      </c>
      <c r="AB581" s="123" t="s">
        <v>1176</v>
      </c>
      <c r="AC581" s="361"/>
    </row>
    <row r="582" spans="1:29" ht="39.950000000000003" customHeight="1">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3" t="s">
        <v>748</v>
      </c>
      <c r="AA582" s="123" t="s">
        <v>743</v>
      </c>
      <c r="AB582" s="123" t="s">
        <v>1172</v>
      </c>
      <c r="AC582" s="361"/>
    </row>
    <row r="583" spans="1:29" ht="39.950000000000003" customHeight="1">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t="shared" ca="1" si="33"/>
        <v>SI</v>
      </c>
      <c r="P583" s="67" t="str">
        <f t="shared" si="36"/>
        <v>DIANOSOL</v>
      </c>
      <c r="Q583" s="67" t="s">
        <v>151</v>
      </c>
      <c r="R583" s="67" t="str">
        <f>VLOOKUP($Q583,Resultados!$A$1:$B$49,2,FALSE)</f>
        <v>Prisión Preventiva</v>
      </c>
      <c r="S583" s="74">
        <v>0.3520833333333333</v>
      </c>
      <c r="T583" s="77" t="str">
        <f t="shared" si="35"/>
        <v>NO</v>
      </c>
      <c r="U583" s="77"/>
      <c r="V583" s="67"/>
      <c r="W583" s="74">
        <v>0.36388888888888887</v>
      </c>
      <c r="X583" s="67"/>
      <c r="Y583" s="67"/>
      <c r="Z583" s="123" t="s">
        <v>743</v>
      </c>
      <c r="AA583" s="123" t="s">
        <v>1170</v>
      </c>
      <c r="AB583" s="123" t="s">
        <v>1176</v>
      </c>
      <c r="AC583" s="361"/>
    </row>
    <row r="584" spans="1:29" ht="39.950000000000003" customHeight="1">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1764</v>
      </c>
      <c r="Y584" s="67"/>
      <c r="Z584" s="123" t="s">
        <v>1041</v>
      </c>
      <c r="AA584" s="123" t="s">
        <v>743</v>
      </c>
      <c r="AB584" s="123" t="s">
        <v>1173</v>
      </c>
      <c r="AC584" s="361"/>
    </row>
    <row r="585" spans="1:29" ht="39.950000000000003" customHeight="1">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61"/>
    </row>
    <row r="586" spans="1:29" ht="39.950000000000003" customHeight="1">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t="shared" ca="1" si="33"/>
        <v>SI</v>
      </c>
      <c r="P586" s="67" t="str">
        <f t="shared" si="36"/>
        <v>DIANOSOL</v>
      </c>
      <c r="Q586" s="67" t="s">
        <v>899</v>
      </c>
      <c r="R586" s="67" t="str">
        <f>VLOOKUP($Q586,Resultados!$A$1:$B$49,2,FALSE)</f>
        <v>Libertad</v>
      </c>
      <c r="S586" s="74">
        <v>0.37708333333333338</v>
      </c>
      <c r="T586" s="77" t="str">
        <f t="shared" si="35"/>
        <v>SI</v>
      </c>
      <c r="U586" s="77"/>
      <c r="V586" s="67"/>
      <c r="W586" s="74">
        <v>0.38958333333333334</v>
      </c>
      <c r="X586" s="273" t="s">
        <v>2744</v>
      </c>
      <c r="Y586" s="67"/>
      <c r="Z586" s="123" t="s">
        <v>748</v>
      </c>
      <c r="AA586" s="123" t="s">
        <v>1170</v>
      </c>
      <c r="AB586" s="123" t="s">
        <v>1172</v>
      </c>
      <c r="AC586" s="361"/>
    </row>
    <row r="587" spans="1:29" ht="39.950000000000003" customHeight="1">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t="shared" ca="1" si="33"/>
        <v>SI</v>
      </c>
      <c r="P587" s="67" t="str">
        <f t="shared" si="36"/>
        <v>DIANOSOL</v>
      </c>
      <c r="Q587" s="67" t="s">
        <v>905</v>
      </c>
      <c r="R587" s="67" t="str">
        <f>VLOOKUP($Q587,Resultados!$A$1:$B$49,2,FALSE)</f>
        <v>Juicio Abreviado</v>
      </c>
      <c r="S587" s="74">
        <v>0.48055555555555557</v>
      </c>
      <c r="T587" s="77" t="str">
        <f t="shared" si="35"/>
        <v>NO</v>
      </c>
      <c r="U587" s="77"/>
      <c r="V587" s="67"/>
      <c r="W587" s="74">
        <v>0.48819444444444443</v>
      </c>
      <c r="X587" s="67"/>
      <c r="Y587" s="67"/>
      <c r="Z587" s="123" t="s">
        <v>743</v>
      </c>
      <c r="AA587" s="123" t="s">
        <v>1168</v>
      </c>
      <c r="AB587" s="123" t="s">
        <v>1174</v>
      </c>
      <c r="AC587" s="361"/>
    </row>
    <row r="588" spans="1:29" ht="39.950000000000003" customHeight="1">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61"/>
    </row>
    <row r="589" spans="1:29" ht="229.5">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t="shared" ca="1" si="33"/>
        <v>SI</v>
      </c>
      <c r="P589" s="67" t="str">
        <f t="shared" si="36"/>
        <v>DIANOSOL</v>
      </c>
      <c r="Q589" s="67" t="s">
        <v>1511</v>
      </c>
      <c r="R589" s="67" t="str">
        <f>VLOOKUP($Q589,Resultados!$A$1:$B$49,2,FALSE)</f>
        <v>Juicio Abreviado</v>
      </c>
      <c r="S589" s="74">
        <v>0.38125000000000003</v>
      </c>
      <c r="T589" s="77" t="str">
        <f t="shared" si="35"/>
        <v>NO</v>
      </c>
      <c r="U589" s="77"/>
      <c r="V589" s="67"/>
      <c r="W589" s="74">
        <v>0.54513888888888895</v>
      </c>
      <c r="X589" s="229" t="s">
        <v>2789</v>
      </c>
      <c r="Y589" s="67"/>
      <c r="Z589" s="123" t="s">
        <v>770</v>
      </c>
      <c r="AA589" s="123" t="s">
        <v>1170</v>
      </c>
      <c r="AB589" s="123" t="s">
        <v>1175</v>
      </c>
      <c r="AC589" s="361"/>
    </row>
    <row r="590" spans="1:29" ht="39.950000000000003" customHeight="1">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71" t="s">
        <v>2791</v>
      </c>
      <c r="Y590" s="67"/>
      <c r="Z590" s="123" t="s">
        <v>1041</v>
      </c>
      <c r="AA590" s="123" t="s">
        <v>743</v>
      </c>
      <c r="AB590" s="123" t="s">
        <v>1173</v>
      </c>
      <c r="AC590" s="361"/>
    </row>
    <row r="591" spans="1:29" ht="39.950000000000003" customHeight="1">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t="shared" ca="1" si="37"/>
        <v>SI</v>
      </c>
      <c r="P591" s="67" t="str">
        <f t="shared" si="36"/>
        <v>DIANOSOL</v>
      </c>
      <c r="Q591" s="67" t="s">
        <v>904</v>
      </c>
      <c r="R591" s="67" t="str">
        <f>VLOOKUP($Q591,Resultados!$A$1:$B$49,2,FALSE)</f>
        <v>Juicio Abreviado</v>
      </c>
      <c r="S591" s="67" t="s">
        <v>2809</v>
      </c>
      <c r="T591" s="77" t="str">
        <f t="shared" si="35"/>
        <v>NO</v>
      </c>
      <c r="U591" s="77"/>
      <c r="V591" s="67"/>
      <c r="W591" s="67" t="s">
        <v>686</v>
      </c>
      <c r="X591" s="67"/>
      <c r="Y591" s="67"/>
      <c r="Z591" s="123" t="s">
        <v>1042</v>
      </c>
      <c r="AA591" s="123" t="s">
        <v>1168</v>
      </c>
      <c r="AB591" s="123" t="s">
        <v>1174</v>
      </c>
      <c r="AC591" s="361"/>
    </row>
    <row r="592" spans="1:29" ht="39.950000000000003" customHeight="1">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2058</v>
      </c>
      <c r="X592" s="67"/>
      <c r="Y592" s="67"/>
      <c r="Z592" s="123" t="s">
        <v>748</v>
      </c>
      <c r="AA592" s="123" t="s">
        <v>1170</v>
      </c>
      <c r="AB592" s="123" t="s">
        <v>1176</v>
      </c>
      <c r="AC592" s="361"/>
    </row>
    <row r="593" spans="1:29" ht="39.950000000000003" customHeight="1">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1291</v>
      </c>
      <c r="X593" s="67"/>
      <c r="Y593" s="67"/>
      <c r="Z593" s="123" t="s">
        <v>743</v>
      </c>
      <c r="AA593" s="123" t="s">
        <v>743</v>
      </c>
      <c r="AB593" s="123" t="s">
        <v>1172</v>
      </c>
      <c r="AC593" s="361"/>
    </row>
    <row r="594" spans="1:29" ht="39.950000000000003" customHeight="1">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SI</v>
      </c>
      <c r="U594" s="77"/>
      <c r="V594" s="67"/>
      <c r="W594" s="67" t="s">
        <v>1009</v>
      </c>
      <c r="X594" s="67" t="s">
        <v>2379</v>
      </c>
      <c r="Y594" s="67"/>
      <c r="Z594" s="123" t="s">
        <v>770</v>
      </c>
      <c r="AA594" s="123" t="s">
        <v>1168</v>
      </c>
      <c r="AB594" s="123" t="s">
        <v>1173</v>
      </c>
      <c r="AC594" s="361"/>
    </row>
    <row r="595" spans="1:29" ht="39.950000000000003" customHeight="1">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t="shared" ca="1" si="37"/>
        <v>SI</v>
      </c>
      <c r="P595" s="67" t="str">
        <f t="shared" si="36"/>
        <v>DIANOSOL</v>
      </c>
      <c r="Q595" s="67" t="s">
        <v>904</v>
      </c>
      <c r="R595" s="67" t="str">
        <f>VLOOKUP($Q595,Resultados!$A$1:$B$49,2,FALSE)</f>
        <v>Juicio Abreviado</v>
      </c>
      <c r="S595" s="67" t="s">
        <v>2682</v>
      </c>
      <c r="T595" s="77" t="str">
        <f t="shared" si="35"/>
        <v>NO</v>
      </c>
      <c r="U595" s="77"/>
      <c r="V595" s="67"/>
      <c r="W595" s="67" t="s">
        <v>1125</v>
      </c>
      <c r="X595" s="67"/>
      <c r="Y595" s="67"/>
      <c r="Z595" s="123" t="s">
        <v>1041</v>
      </c>
      <c r="AA595" s="123" t="s">
        <v>1170</v>
      </c>
      <c r="AB595" s="123" t="s">
        <v>1172</v>
      </c>
      <c r="AC595" s="361"/>
    </row>
    <row r="596" spans="1:29" ht="39.950000000000003" customHeight="1">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61"/>
    </row>
    <row r="597" spans="1:29" ht="39.950000000000003" customHeight="1">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2818</v>
      </c>
      <c r="Y597" s="67"/>
      <c r="Z597" s="123" t="s">
        <v>748</v>
      </c>
      <c r="AA597" s="123" t="s">
        <v>1168</v>
      </c>
      <c r="AB597" s="123" t="s">
        <v>1176</v>
      </c>
      <c r="AC597" s="361"/>
    </row>
    <row r="598" spans="1:29" ht="39.950000000000003" customHeight="1">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2858</v>
      </c>
      <c r="Y598" s="67"/>
      <c r="Z598" s="123" t="s">
        <v>743</v>
      </c>
      <c r="AA598" s="123" t="s">
        <v>1168</v>
      </c>
      <c r="AB598" s="123" t="s">
        <v>1173</v>
      </c>
      <c r="AC598" s="361"/>
    </row>
    <row r="599" spans="1:29" ht="39.950000000000003" customHeight="1">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2863</v>
      </c>
      <c r="Y599" s="67"/>
      <c r="Z599" s="123" t="s">
        <v>770</v>
      </c>
      <c r="AA599" s="123" t="s">
        <v>1168</v>
      </c>
      <c r="AB599" s="123" t="s">
        <v>1172</v>
      </c>
      <c r="AC599" s="361"/>
    </row>
    <row r="600" spans="1:29" ht="39.950000000000003" customHeight="1">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2796</v>
      </c>
      <c r="AB600" s="123" t="s">
        <v>1174</v>
      </c>
      <c r="AC600" s="361"/>
    </row>
    <row r="601" spans="1:29" ht="39.950000000000003" customHeight="1">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t="shared" ca="1" si="37"/>
        <v>SI</v>
      </c>
      <c r="P601" s="67" t="str">
        <f t="shared" si="36"/>
        <v>DIANOSOL</v>
      </c>
      <c r="Q601" s="67" t="s">
        <v>899</v>
      </c>
      <c r="R601" s="67" t="str">
        <f>VLOOKUP($Q601,Resultados!$A$1:$B$49,2,FALSE)</f>
        <v>Libertad</v>
      </c>
      <c r="S601" s="74">
        <v>0.37152777777777773</v>
      </c>
      <c r="T601" s="77" t="str">
        <f t="shared" si="38"/>
        <v>SI</v>
      </c>
      <c r="U601" s="77"/>
      <c r="V601" s="67"/>
      <c r="W601" s="74">
        <v>0.37916666666666665</v>
      </c>
      <c r="X601" s="229" t="s">
        <v>2860</v>
      </c>
      <c r="Y601" s="67"/>
      <c r="Z601" s="123" t="s">
        <v>1042</v>
      </c>
      <c r="AA601" s="123" t="s">
        <v>1168</v>
      </c>
      <c r="AB601" s="123" t="s">
        <v>1176</v>
      </c>
      <c r="AC601" s="361"/>
    </row>
    <row r="602" spans="1:29" ht="39.950000000000003" customHeight="1">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29" t="s">
        <v>2856</v>
      </c>
      <c r="Y602" s="67"/>
      <c r="Z602" s="123" t="s">
        <v>748</v>
      </c>
      <c r="AA602" s="123" t="s">
        <v>2796</v>
      </c>
      <c r="AB602" s="123" t="s">
        <v>1173</v>
      </c>
      <c r="AC602" s="361"/>
    </row>
    <row r="603" spans="1:29" ht="39.950000000000003" customHeight="1">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t="shared" ca="1" si="37"/>
        <v>SI</v>
      </c>
      <c r="P603" s="67" t="str">
        <f t="shared" si="36"/>
        <v>DIANOSOL</v>
      </c>
      <c r="Q603" s="67" t="s">
        <v>904</v>
      </c>
      <c r="R603" s="67" t="str">
        <f>VLOOKUP($Q603,Resultados!$A$1:$B$49,2,FALSE)</f>
        <v>Juicio Abreviado</v>
      </c>
      <c r="S603" s="74">
        <v>0.39027777777777778</v>
      </c>
      <c r="T603" s="77" t="str">
        <f t="shared" si="38"/>
        <v>NO</v>
      </c>
      <c r="U603" s="77"/>
      <c r="V603" s="67"/>
      <c r="W603" s="74">
        <v>0.4055555555555555</v>
      </c>
      <c r="X603" s="67"/>
      <c r="Y603" s="67"/>
      <c r="Z603" s="123" t="s">
        <v>743</v>
      </c>
      <c r="AA603" s="123" t="s">
        <v>2796</v>
      </c>
      <c r="AB603" s="123" t="s">
        <v>1172</v>
      </c>
      <c r="AC603" s="361"/>
    </row>
    <row r="604" spans="1:29" ht="39.950000000000003" customHeight="1">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2855</v>
      </c>
      <c r="Y604" s="67"/>
      <c r="Z604" s="123" t="s">
        <v>770</v>
      </c>
      <c r="AA604" s="123" t="s">
        <v>1168</v>
      </c>
      <c r="AB604" s="123" t="s">
        <v>1174</v>
      </c>
      <c r="AC604" s="361"/>
    </row>
    <row r="605" spans="1:29" ht="39.950000000000003" customHeight="1">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t="shared" ca="1" si="37"/>
        <v>SI</v>
      </c>
      <c r="P605" s="67" t="str">
        <f t="shared" si="36"/>
        <v>DIANOSOL</v>
      </c>
      <c r="Q605" s="67" t="s">
        <v>904</v>
      </c>
      <c r="R605" s="67" t="str">
        <f>VLOOKUP($Q605,Resultados!$A$1:$B$49,2,FALSE)</f>
        <v>Juicio Abreviado</v>
      </c>
      <c r="S605" s="74">
        <v>0.53055555555555556</v>
      </c>
      <c r="T605" s="77" t="str">
        <f t="shared" si="38"/>
        <v>NO</v>
      </c>
      <c r="U605" s="77"/>
      <c r="V605" s="67"/>
      <c r="W605" s="74">
        <v>0.54513888888888895</v>
      </c>
      <c r="X605" s="67"/>
      <c r="Y605" s="67"/>
      <c r="Z605" s="123" t="s">
        <v>1041</v>
      </c>
      <c r="AA605" s="123" t="s">
        <v>2849</v>
      </c>
      <c r="AB605" s="123" t="s">
        <v>1176</v>
      </c>
      <c r="AC605" s="361"/>
    </row>
    <row r="606" spans="1:29" ht="39.950000000000003" customHeight="1">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2864</v>
      </c>
      <c r="AA606" s="123" t="s">
        <v>1168</v>
      </c>
      <c r="AB606" s="123" t="s">
        <v>1173</v>
      </c>
      <c r="AC606" s="361"/>
    </row>
    <row r="607" spans="1:29" ht="39.950000000000003" customHeight="1">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t="shared" ca="1" si="37"/>
        <v>SI</v>
      </c>
      <c r="P607" s="83" t="str">
        <f t="shared" si="36"/>
        <v>DIANOSOL</v>
      </c>
      <c r="Q607" s="67" t="s">
        <v>909</v>
      </c>
      <c r="R607" s="67" t="str">
        <f>VLOOKUP($Q607,Resultados!$A$1:$B$49,2,FALSE)</f>
        <v>Suspensión de juicio a prueba</v>
      </c>
      <c r="S607" s="74">
        <v>0.3527777777777778</v>
      </c>
      <c r="T607" s="86" t="str">
        <f t="shared" si="38"/>
        <v>SI</v>
      </c>
      <c r="U607" s="86"/>
      <c r="V607" s="83"/>
      <c r="W607" s="74">
        <v>0.35972222222222222</v>
      </c>
      <c r="X607" s="67"/>
      <c r="Y607" s="67"/>
      <c r="Z607" s="123" t="s">
        <v>1042</v>
      </c>
      <c r="AA607" s="123" t="s">
        <v>1168</v>
      </c>
      <c r="AB607" s="123" t="s">
        <v>1172</v>
      </c>
      <c r="AC607" s="361"/>
    </row>
    <row r="608" spans="1:29" ht="39.950000000000003" customHeight="1">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2849</v>
      </c>
      <c r="AB608" s="123" t="s">
        <v>1174</v>
      </c>
      <c r="AC608" s="361"/>
    </row>
    <row r="609" spans="1:29" ht="39.950000000000003" customHeight="1">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NO</v>
      </c>
      <c r="U609" s="86"/>
      <c r="V609" s="83"/>
      <c r="W609" s="74">
        <v>0.37986111111111115</v>
      </c>
      <c r="X609" s="67"/>
      <c r="Y609" s="67"/>
      <c r="Z609" s="123" t="s">
        <v>743</v>
      </c>
      <c r="AA609" s="123" t="s">
        <v>1168</v>
      </c>
      <c r="AB609" s="123" t="s">
        <v>1176</v>
      </c>
      <c r="AC609" s="361"/>
    </row>
    <row r="610" spans="1:29" ht="63.75">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NO</v>
      </c>
      <c r="U610" s="86"/>
      <c r="V610" s="83"/>
      <c r="W610" s="67"/>
      <c r="X610" s="67"/>
      <c r="Y610" s="67"/>
      <c r="Z610" s="123" t="s">
        <v>770</v>
      </c>
      <c r="AA610" s="123" t="s">
        <v>2849</v>
      </c>
      <c r="AB610" s="123" t="s">
        <v>1173</v>
      </c>
      <c r="AC610" s="361"/>
    </row>
    <row r="611" spans="1:29" ht="39.950000000000003" customHeight="1">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2889</v>
      </c>
      <c r="Y611" s="67"/>
      <c r="Z611" s="123" t="s">
        <v>1041</v>
      </c>
      <c r="AA611" s="123" t="s">
        <v>1168</v>
      </c>
      <c r="AB611" s="123" t="s">
        <v>1172</v>
      </c>
      <c r="AC611" s="361"/>
    </row>
    <row r="612" spans="1:29" ht="39.950000000000003" customHeight="1">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2864</v>
      </c>
      <c r="AA612" s="123" t="s">
        <v>2849</v>
      </c>
      <c r="AB612" s="123" t="s">
        <v>1174</v>
      </c>
      <c r="AC612" s="361"/>
    </row>
    <row r="613" spans="1:29" ht="39.950000000000003" customHeight="1">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2896</v>
      </c>
      <c r="Y613" s="67"/>
      <c r="Z613" s="123" t="s">
        <v>1041</v>
      </c>
      <c r="AA613" s="123" t="s">
        <v>1168</v>
      </c>
      <c r="AB613" s="123" t="s">
        <v>1176</v>
      </c>
      <c r="AC613" s="361"/>
    </row>
    <row r="614" spans="1:29" ht="39.950000000000003" customHeight="1">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2379</v>
      </c>
      <c r="Y614" s="67"/>
      <c r="Z614" s="123" t="s">
        <v>2864</v>
      </c>
      <c r="AA614" s="123" t="s">
        <v>1168</v>
      </c>
      <c r="AB614" s="123" t="s">
        <v>1173</v>
      </c>
      <c r="AC614" s="361"/>
    </row>
    <row r="615" spans="1:29" ht="63.75">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2892</v>
      </c>
      <c r="AA615" s="123" t="s">
        <v>2849</v>
      </c>
      <c r="AB615" s="284" t="s">
        <v>1172</v>
      </c>
      <c r="AC615" s="361"/>
    </row>
    <row r="616" spans="1:29" ht="39.950000000000003" customHeight="1">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t="shared" ca="1" si="37"/>
        <v>SI</v>
      </c>
      <c r="P616" s="67" t="str">
        <f t="shared" si="36"/>
        <v>DIANOSOL</v>
      </c>
      <c r="Q616" s="67" t="s">
        <v>904</v>
      </c>
      <c r="R616" s="67" t="str">
        <f>VLOOKUP($Q616,Resultados!$A$1:$B$49,2,FALSE)</f>
        <v>Juicio Abreviado</v>
      </c>
      <c r="S616" s="67" t="s">
        <v>2382</v>
      </c>
      <c r="T616" s="77" t="str">
        <f t="shared" si="38"/>
        <v>NO</v>
      </c>
      <c r="U616" s="77"/>
      <c r="V616" s="67"/>
      <c r="W616" s="67" t="s">
        <v>2905</v>
      </c>
      <c r="X616" s="67" t="s">
        <v>2906</v>
      </c>
      <c r="Y616" s="67"/>
      <c r="Z616" s="123" t="s">
        <v>1042</v>
      </c>
      <c r="AA616" s="123" t="s">
        <v>2849</v>
      </c>
      <c r="AB616" s="123" t="s">
        <v>2888</v>
      </c>
      <c r="AC616" s="361"/>
    </row>
    <row r="617" spans="1:29" ht="39.950000000000003" customHeight="1">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SI</v>
      </c>
      <c r="U617" s="77"/>
      <c r="V617" s="67"/>
      <c r="W617" s="67" t="s">
        <v>1230</v>
      </c>
      <c r="X617" s="67" t="s">
        <v>2893</v>
      </c>
      <c r="Y617" s="67"/>
      <c r="Z617" s="123" t="s">
        <v>748</v>
      </c>
      <c r="AA617" s="123" t="s">
        <v>2849</v>
      </c>
      <c r="AB617" s="123" t="s">
        <v>1176</v>
      </c>
      <c r="AC617" s="361"/>
    </row>
    <row r="618" spans="1:29" ht="39.950000000000003" customHeight="1">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t="shared" ca="1" si="37"/>
        <v>SI</v>
      </c>
      <c r="P618" s="67" t="str">
        <f t="shared" si="36"/>
        <v>DIANOSOL</v>
      </c>
      <c r="Q618" s="67" t="s">
        <v>899</v>
      </c>
      <c r="R618" s="67" t="str">
        <f>VLOOKUP($Q618,Resultados!$A$1:$B$49,2,FALSE)</f>
        <v>Libertad</v>
      </c>
      <c r="S618" s="67" t="s">
        <v>1498</v>
      </c>
      <c r="T618" s="77" t="str">
        <f t="shared" si="38"/>
        <v>NO</v>
      </c>
      <c r="U618" s="77"/>
      <c r="V618" s="67"/>
      <c r="W618" s="67" t="s">
        <v>2901</v>
      </c>
      <c r="X618" s="67" t="s">
        <v>2903</v>
      </c>
      <c r="Y618" s="67"/>
      <c r="Z618" s="123" t="s">
        <v>743</v>
      </c>
      <c r="AA618" s="123" t="s">
        <v>1168</v>
      </c>
      <c r="AB618" s="123" t="s">
        <v>1173</v>
      </c>
      <c r="AC618" s="361"/>
    </row>
    <row r="619" spans="1:29" ht="39.950000000000003" customHeight="1">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61"/>
    </row>
    <row r="620" spans="1:29" ht="39.950000000000003" customHeight="1">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t="shared" ca="1" si="37"/>
        <v>SI</v>
      </c>
      <c r="P620" s="67" t="str">
        <f t="shared" si="36"/>
        <v>DIANOSOL</v>
      </c>
      <c r="Q620" s="67" t="s">
        <v>904</v>
      </c>
      <c r="R620" s="67" t="str">
        <f>VLOOKUP($Q620,Resultados!$A$1:$B$49,2,FALSE)</f>
        <v>Juicio Abreviado</v>
      </c>
      <c r="S620" s="67" t="s">
        <v>2704</v>
      </c>
      <c r="T620" s="77" t="str">
        <f t="shared" si="38"/>
        <v>NO</v>
      </c>
      <c r="U620" s="77"/>
      <c r="V620" s="67"/>
      <c r="W620" s="67" t="s">
        <v>2955</v>
      </c>
      <c r="X620" s="67" t="s">
        <v>2379</v>
      </c>
      <c r="Y620" s="67"/>
      <c r="Z620" s="123" t="s">
        <v>1041</v>
      </c>
      <c r="AA620" s="123" t="s">
        <v>1170</v>
      </c>
      <c r="AB620" s="123" t="s">
        <v>1174</v>
      </c>
      <c r="AC620" s="361"/>
    </row>
    <row r="621" spans="1:29" ht="39.950000000000003" customHeight="1">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NO</v>
      </c>
      <c r="U621" s="77"/>
      <c r="V621" s="67"/>
      <c r="W621" s="67" t="s">
        <v>1577</v>
      </c>
      <c r="X621" s="67" t="s">
        <v>2946</v>
      </c>
      <c r="Y621" s="67"/>
      <c r="Z621" s="123" t="s">
        <v>2864</v>
      </c>
      <c r="AA621" s="123" t="s">
        <v>2849</v>
      </c>
      <c r="AB621" s="123" t="s">
        <v>1176</v>
      </c>
      <c r="AC621" s="361"/>
    </row>
    <row r="622" spans="1:29" ht="39.950000000000003" customHeight="1">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SI</v>
      </c>
      <c r="U622" s="77"/>
      <c r="V622" s="67"/>
      <c r="W622" s="67" t="s">
        <v>1209</v>
      </c>
      <c r="X622" s="67" t="s">
        <v>2957</v>
      </c>
      <c r="Y622" s="67"/>
      <c r="Z622" s="284" t="s">
        <v>2892</v>
      </c>
      <c r="AA622" s="123" t="s">
        <v>1168</v>
      </c>
      <c r="AB622" s="123" t="s">
        <v>1173</v>
      </c>
      <c r="AC622" s="361"/>
    </row>
    <row r="623" spans="1:29" ht="39.950000000000003" customHeight="1">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2959</v>
      </c>
      <c r="Y623" s="67"/>
      <c r="Z623" s="123" t="s">
        <v>1042</v>
      </c>
      <c r="AA623" s="123" t="s">
        <v>2849</v>
      </c>
      <c r="AB623" s="123" t="s">
        <v>1172</v>
      </c>
      <c r="AC623" s="361"/>
    </row>
    <row r="624" spans="1:29" ht="39.950000000000003" customHeight="1">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2953</v>
      </c>
      <c r="Y624" s="67"/>
      <c r="Z624" s="123" t="s">
        <v>748</v>
      </c>
      <c r="AA624" s="123" t="s">
        <v>1170</v>
      </c>
      <c r="AB624" s="123" t="s">
        <v>1174</v>
      </c>
      <c r="AC624" s="361"/>
    </row>
    <row r="625" spans="1:29" ht="39.950000000000003" customHeight="1">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2945</v>
      </c>
      <c r="Y625" s="67"/>
      <c r="Z625" s="123" t="s">
        <v>770</v>
      </c>
      <c r="AA625" s="123" t="s">
        <v>2849</v>
      </c>
      <c r="AB625" s="123" t="s">
        <v>1173</v>
      </c>
      <c r="AC625" s="361"/>
    </row>
    <row r="626" spans="1:29" ht="39.950000000000003" customHeight="1">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t="shared" ca="1" si="37"/>
        <v>SI</v>
      </c>
      <c r="P626" s="67" t="str">
        <f t="shared" si="36"/>
        <v>DIANOSOL</v>
      </c>
      <c r="Q626" s="67" t="s">
        <v>904</v>
      </c>
      <c r="R626" s="67" t="str">
        <f>VLOOKUP($Q626,Resultados!$A$1:$B$49,2,FALSE)</f>
        <v>Juicio Abreviado</v>
      </c>
      <c r="S626" s="67" t="s">
        <v>2961</v>
      </c>
      <c r="T626" s="77" t="str">
        <f t="shared" si="38"/>
        <v>NO</v>
      </c>
      <c r="U626" s="77"/>
      <c r="V626" s="67"/>
      <c r="W626" s="67" t="s">
        <v>1509</v>
      </c>
      <c r="X626" s="67"/>
      <c r="Y626" s="67"/>
      <c r="Z626" s="123" t="s">
        <v>2864</v>
      </c>
      <c r="AA626" s="123" t="s">
        <v>1168</v>
      </c>
      <c r="AB626" s="123" t="s">
        <v>1172</v>
      </c>
      <c r="AC626" s="361"/>
    </row>
    <row r="627" spans="1:29" ht="39.950000000000003" customHeight="1">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t="shared" ca="1" si="37"/>
        <v>SI</v>
      </c>
      <c r="P627" s="67" t="str">
        <f t="shared" si="36"/>
        <v>DIANOSOL</v>
      </c>
      <c r="Q627" s="67" t="s">
        <v>904</v>
      </c>
      <c r="R627" s="67" t="str">
        <f>VLOOKUP($Q627,Resultados!$A$1:$B$49,2,FALSE)</f>
        <v>Juicio Abreviado</v>
      </c>
      <c r="S627" s="67" t="s">
        <v>1805</v>
      </c>
      <c r="T627" s="77" t="str">
        <f t="shared" si="38"/>
        <v>NO</v>
      </c>
      <c r="U627" s="77"/>
      <c r="V627" s="67"/>
      <c r="W627" s="67" t="s">
        <v>1309</v>
      </c>
      <c r="X627" s="67" t="s">
        <v>2945</v>
      </c>
      <c r="Y627" s="67"/>
      <c r="Z627" s="123" t="s">
        <v>1041</v>
      </c>
      <c r="AA627" s="123" t="s">
        <v>1170</v>
      </c>
      <c r="AB627" s="123" t="s">
        <v>1174</v>
      </c>
      <c r="AC627" s="361"/>
    </row>
    <row r="628" spans="1:29" ht="39.950000000000003" customHeight="1">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2379</v>
      </c>
      <c r="Y628" s="67"/>
      <c r="Z628" s="123" t="s">
        <v>2892</v>
      </c>
      <c r="AA628" s="123" t="s">
        <v>1168</v>
      </c>
      <c r="AB628" s="123" t="s">
        <v>1176</v>
      </c>
      <c r="AC628" s="361"/>
    </row>
    <row r="629" spans="1:29" ht="39.950000000000003" customHeight="1">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t="shared" ca="1" si="37"/>
        <v>SI</v>
      </c>
      <c r="P629" s="67" t="str">
        <f t="shared" si="36"/>
        <v>DIANOSOL</v>
      </c>
      <c r="Q629" s="67" t="s">
        <v>905</v>
      </c>
      <c r="R629" s="67" t="str">
        <f>VLOOKUP($Q629,Resultados!$A$1:$B$49,2,FALSE)</f>
        <v>Juicio Abreviado</v>
      </c>
      <c r="S629" s="67" t="s">
        <v>1291</v>
      </c>
      <c r="T629" s="77" t="str">
        <f t="shared" si="39"/>
        <v>SI</v>
      </c>
      <c r="U629" s="77"/>
      <c r="V629" s="67"/>
      <c r="W629" s="67" t="s">
        <v>1498</v>
      </c>
      <c r="X629" s="67" t="s">
        <v>2978</v>
      </c>
      <c r="Y629" s="67"/>
      <c r="Z629" s="284" t="s">
        <v>1042</v>
      </c>
      <c r="AA629" s="123" t="s">
        <v>1168</v>
      </c>
      <c r="AB629" s="123" t="s">
        <v>1173</v>
      </c>
      <c r="AC629" s="361"/>
    </row>
    <row r="630" spans="1:29" ht="39.950000000000003" customHeight="1">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2981</v>
      </c>
      <c r="Y630" s="67"/>
      <c r="Z630" s="123" t="s">
        <v>748</v>
      </c>
      <c r="AA630" s="123" t="s">
        <v>2849</v>
      </c>
      <c r="AB630" s="123" t="s">
        <v>1172</v>
      </c>
      <c r="AC630" s="361"/>
    </row>
    <row r="631" spans="1:29" ht="39.950000000000003" customHeight="1">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t="shared" ca="1" si="37"/>
        <v>SI</v>
      </c>
      <c r="P631" s="67" t="str">
        <f t="shared" si="36"/>
        <v>DIANOSOL</v>
      </c>
      <c r="Q631" s="67" t="s">
        <v>151</v>
      </c>
      <c r="R631" s="67" t="str">
        <f>VLOOKUP($Q631,Resultados!$A$1:$B$49,2,FALSE)</f>
        <v>Prisión Preventiva</v>
      </c>
      <c r="S631" s="67" t="s">
        <v>2984</v>
      </c>
      <c r="T631" s="77" t="str">
        <f t="shared" si="39"/>
        <v>NO</v>
      </c>
      <c r="U631" s="77"/>
      <c r="V631" s="67"/>
      <c r="W631" s="67" t="s">
        <v>686</v>
      </c>
      <c r="X631" s="67" t="s">
        <v>2985</v>
      </c>
      <c r="Y631" s="67"/>
      <c r="Z631" s="123" t="s">
        <v>743</v>
      </c>
      <c r="AA631" s="123" t="s">
        <v>2849</v>
      </c>
      <c r="AB631" s="123" t="s">
        <v>1174</v>
      </c>
      <c r="AC631" s="361"/>
    </row>
    <row r="632" spans="1:29" ht="39.950000000000003" customHeight="1">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NO</v>
      </c>
      <c r="U632" s="77"/>
      <c r="V632" s="67"/>
      <c r="W632" s="67" t="s">
        <v>1209</v>
      </c>
      <c r="X632" s="67"/>
      <c r="Y632" s="67"/>
      <c r="Z632" s="123" t="s">
        <v>770</v>
      </c>
      <c r="AA632" s="123" t="s">
        <v>1170</v>
      </c>
      <c r="AB632" s="123" t="s">
        <v>1176</v>
      </c>
      <c r="AC632" s="361"/>
    </row>
    <row r="633" spans="1:29" ht="39.950000000000003" customHeight="1">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1800</v>
      </c>
      <c r="X633" s="67" t="s">
        <v>2987</v>
      </c>
      <c r="Y633" s="67"/>
      <c r="Z633" s="123" t="s">
        <v>1041</v>
      </c>
      <c r="AA633" s="123" t="s">
        <v>1168</v>
      </c>
      <c r="AB633" s="123" t="s">
        <v>1173</v>
      </c>
      <c r="AC633" s="361"/>
    </row>
    <row r="634" spans="1:29" ht="39.950000000000003" customHeight="1">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t="shared" ca="1" si="37"/>
        <v>SI</v>
      </c>
      <c r="P634" s="67" t="str">
        <f t="shared" si="36"/>
        <v>DIANOSOL</v>
      </c>
      <c r="Q634" s="67" t="s">
        <v>904</v>
      </c>
      <c r="R634" s="67" t="str">
        <f>VLOOKUP($Q634,Resultados!$A$1:$B$49,2,FALSE)</f>
        <v>Juicio Abreviado</v>
      </c>
      <c r="S634" s="67" t="s">
        <v>2682</v>
      </c>
      <c r="T634" s="77" t="str">
        <f t="shared" si="39"/>
        <v>NO</v>
      </c>
      <c r="U634" s="77"/>
      <c r="V634" s="67"/>
      <c r="W634" s="67" t="s">
        <v>1800</v>
      </c>
      <c r="X634" s="67" t="s">
        <v>2981</v>
      </c>
      <c r="Y634" s="67"/>
      <c r="Z634" s="123" t="s">
        <v>2892</v>
      </c>
      <c r="AA634" s="123" t="s">
        <v>1170</v>
      </c>
      <c r="AB634" s="123" t="s">
        <v>1172</v>
      </c>
      <c r="AC634" s="361"/>
    </row>
    <row r="635" spans="1:29" ht="39.950000000000003" customHeight="1">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2849</v>
      </c>
      <c r="AB635" s="123" t="s">
        <v>1174</v>
      </c>
      <c r="AC635" s="361"/>
    </row>
    <row r="636" spans="1:29" ht="39.950000000000003" customHeight="1">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t="shared" ca="1" si="37"/>
        <v>SI</v>
      </c>
      <c r="P636" s="67" t="str">
        <f t="shared" si="36"/>
        <v>DIANOSOL</v>
      </c>
      <c r="Q636" s="67" t="s">
        <v>151</v>
      </c>
      <c r="R636" s="67" t="str">
        <f>VLOOKUP($Q636,Resultados!$A$1:$B$49,2,FALSE)</f>
        <v>Prisión Preventiva</v>
      </c>
      <c r="S636" s="67" t="s">
        <v>3007</v>
      </c>
      <c r="T636" s="77" t="str">
        <f t="shared" si="39"/>
        <v>SI</v>
      </c>
      <c r="U636" s="77"/>
      <c r="V636" s="67"/>
      <c r="W636" s="67" t="s">
        <v>1017</v>
      </c>
      <c r="X636" s="67"/>
      <c r="Y636" s="67"/>
      <c r="Z636" s="123" t="s">
        <v>1041</v>
      </c>
      <c r="AA636" s="123" t="s">
        <v>1170</v>
      </c>
      <c r="AB636" s="123" t="s">
        <v>1176</v>
      </c>
      <c r="AC636" s="361"/>
    </row>
    <row r="637" spans="1:29" ht="39.950000000000003" customHeight="1">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3018</v>
      </c>
      <c r="Y637" s="67"/>
      <c r="Z637" s="123" t="s">
        <v>748</v>
      </c>
      <c r="AA637" s="123" t="s">
        <v>1168</v>
      </c>
      <c r="AB637" s="123" t="s">
        <v>1173</v>
      </c>
      <c r="AC637" s="361"/>
    </row>
    <row r="638" spans="1:29" ht="39.950000000000003" customHeight="1">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t="shared" ca="1" si="37"/>
        <v>SI</v>
      </c>
      <c r="P638" s="83" t="str">
        <f t="shared" si="36"/>
        <v>DIANOSOL</v>
      </c>
      <c r="Q638" s="67" t="s">
        <v>904</v>
      </c>
      <c r="R638" s="67" t="str">
        <f>VLOOKUP($Q638,Resultados!$A$1:$B$49,2,FALSE)</f>
        <v>Juicio Abreviado</v>
      </c>
      <c r="S638" s="74">
        <v>0.36041666666666666</v>
      </c>
      <c r="T638" s="86" t="str">
        <f t="shared" si="39"/>
        <v>NO</v>
      </c>
      <c r="U638" s="86"/>
      <c r="V638" s="83"/>
      <c r="W638" s="74">
        <v>0.37222222222222223</v>
      </c>
      <c r="X638" s="67"/>
      <c r="Y638" s="67"/>
      <c r="Z638" s="123" t="s">
        <v>770</v>
      </c>
      <c r="AA638" s="123" t="s">
        <v>2849</v>
      </c>
      <c r="AB638" s="123" t="s">
        <v>1172</v>
      </c>
      <c r="AC638" s="361"/>
    </row>
    <row r="639" spans="1:29" ht="39.950000000000003" customHeight="1">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3015</v>
      </c>
      <c r="Y639" s="67"/>
      <c r="Z639" s="123" t="s">
        <v>743</v>
      </c>
      <c r="AA639" s="123" t="s">
        <v>1170</v>
      </c>
      <c r="AB639" s="123" t="s">
        <v>2976</v>
      </c>
      <c r="AC639" s="361"/>
    </row>
    <row r="640" spans="1:29" ht="39.950000000000003" customHeight="1">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3014</v>
      </c>
      <c r="Y640" s="67"/>
      <c r="Z640" s="123" t="s">
        <v>2892</v>
      </c>
      <c r="AA640" s="123" t="s">
        <v>2849</v>
      </c>
      <c r="AB640" s="123" t="s">
        <v>1176</v>
      </c>
      <c r="AC640" s="361"/>
    </row>
    <row r="641" spans="1:29" ht="39.950000000000003" customHeight="1">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t="shared" ca="1" si="37"/>
        <v>SI</v>
      </c>
      <c r="P641" s="83" t="str">
        <f t="shared" si="36"/>
        <v>DIANOSOL</v>
      </c>
      <c r="Q641" s="67" t="s">
        <v>1900</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61"/>
    </row>
    <row r="642" spans="1:29" ht="39.950000000000003" customHeight="1">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3012</v>
      </c>
      <c r="Y642" s="67"/>
      <c r="Z642" s="123" t="s">
        <v>1042</v>
      </c>
      <c r="AA642" s="123" t="s">
        <v>1170</v>
      </c>
      <c r="AB642" s="123" t="s">
        <v>1172</v>
      </c>
      <c r="AC642" s="361"/>
    </row>
    <row r="643" spans="1:29" ht="87" customHeight="1">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3028</v>
      </c>
      <c r="Y643" s="67"/>
      <c r="Z643" s="123" t="s">
        <v>743</v>
      </c>
      <c r="AA643" s="123" t="s">
        <v>1170</v>
      </c>
      <c r="AB643" s="123" t="s">
        <v>2976</v>
      </c>
      <c r="AC643" s="361"/>
    </row>
    <row r="644" spans="1:29" ht="39.950000000000003" customHeight="1">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2981</v>
      </c>
      <c r="Y644" s="67"/>
      <c r="Z644" s="123" t="s">
        <v>743</v>
      </c>
      <c r="AA644" s="123" t="s">
        <v>1170</v>
      </c>
      <c r="AB644" s="123" t="s">
        <v>1173</v>
      </c>
      <c r="AC644" s="361"/>
    </row>
    <row r="645" spans="1:29" ht="39.950000000000003" customHeight="1">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SI</v>
      </c>
      <c r="U645" s="86"/>
      <c r="V645" s="83"/>
      <c r="W645" s="74">
        <v>0.40138888888888885</v>
      </c>
      <c r="X645" s="67" t="s">
        <v>3071</v>
      </c>
      <c r="Y645" s="67"/>
      <c r="Z645" s="123" t="s">
        <v>2864</v>
      </c>
      <c r="AA645" s="123" t="s">
        <v>2849</v>
      </c>
      <c r="AB645" s="123" t="s">
        <v>1174</v>
      </c>
      <c r="AC645" s="361"/>
    </row>
    <row r="646" spans="1:29" ht="39.950000000000003" customHeight="1">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t="shared" ca="1" si="37"/>
        <v>SI</v>
      </c>
      <c r="P646" s="83" t="str">
        <f t="shared" si="40"/>
        <v>DIANOSOL</v>
      </c>
      <c r="Q646" s="67" t="s">
        <v>904</v>
      </c>
      <c r="R646" s="67" t="str">
        <f>VLOOKUP($Q646,Resultados!$A$1:$B$49,2,FALSE)</f>
        <v>Juicio Abreviado</v>
      </c>
      <c r="S646" s="74">
        <v>0.41041666666666665</v>
      </c>
      <c r="T646" s="86" t="str">
        <f t="shared" si="39"/>
        <v>NO</v>
      </c>
      <c r="U646" s="86"/>
      <c r="V646" s="83"/>
      <c r="W646" s="74">
        <v>0.42499999999999999</v>
      </c>
      <c r="X646" s="67" t="s">
        <v>3070</v>
      </c>
      <c r="Y646" s="67"/>
      <c r="Z646" s="123" t="s">
        <v>748</v>
      </c>
      <c r="AA646" s="123" t="s">
        <v>1168</v>
      </c>
      <c r="AB646" s="123" t="s">
        <v>1176</v>
      </c>
      <c r="AC646" s="361"/>
    </row>
    <row r="647" spans="1:29" ht="39.950000000000003" customHeight="1">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83" t="str">
        <f t="shared" ca="1" si="37"/>
        <v>SI</v>
      </c>
      <c r="P647" s="83" t="str">
        <f t="shared" si="40"/>
        <v>DIANOSOL</v>
      </c>
      <c r="Q647" s="67" t="s">
        <v>904</v>
      </c>
      <c r="R647" s="67" t="str">
        <f>VLOOKUP($Q647,Resultados!$A$1:$B$49,2,FALSE)</f>
        <v>Juicio Abreviado</v>
      </c>
      <c r="S647" s="67" t="s">
        <v>1229</v>
      </c>
      <c r="T647" s="86" t="str">
        <f t="shared" si="39"/>
        <v>NO</v>
      </c>
      <c r="U647" s="86"/>
      <c r="V647" s="83"/>
      <c r="W647" s="67" t="s">
        <v>2682</v>
      </c>
      <c r="X647" s="67"/>
      <c r="Y647" s="67"/>
      <c r="Z647" s="123" t="s">
        <v>2892</v>
      </c>
      <c r="AA647" s="123" t="s">
        <v>1170</v>
      </c>
      <c r="AB647" s="123" t="s">
        <v>1173</v>
      </c>
      <c r="AC647" s="361"/>
    </row>
    <row r="648" spans="1:29" ht="39.950000000000003" customHeight="1">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61"/>
    </row>
    <row r="649" spans="1:29" ht="39.950000000000003" customHeight="1">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3078</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3079</v>
      </c>
      <c r="Y649" s="67"/>
      <c r="Z649" s="341" t="s">
        <v>1041</v>
      </c>
      <c r="AA649" s="123" t="s">
        <v>1168</v>
      </c>
      <c r="AB649" s="123" t="s">
        <v>1174</v>
      </c>
      <c r="AC649" s="361"/>
    </row>
    <row r="650" spans="1:29" ht="39.950000000000003" customHeight="1">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2893</v>
      </c>
      <c r="Y650" s="67"/>
      <c r="Z650" s="341" t="s">
        <v>2892</v>
      </c>
      <c r="AA650" s="123" t="s">
        <v>1168</v>
      </c>
      <c r="AB650" s="123" t="s">
        <v>1176</v>
      </c>
      <c r="AC650" s="361"/>
    </row>
    <row r="651" spans="1:29" ht="76.5">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NO</v>
      </c>
      <c r="U651" s="77"/>
      <c r="V651" s="67"/>
      <c r="W651" s="67" t="s">
        <v>1065</v>
      </c>
      <c r="X651" s="67"/>
      <c r="Y651" s="67"/>
      <c r="Z651" s="341" t="s">
        <v>2864</v>
      </c>
      <c r="AA651" s="123" t="s">
        <v>1170</v>
      </c>
      <c r="AB651" s="123" t="s">
        <v>1173</v>
      </c>
      <c r="AC651" s="361"/>
    </row>
    <row r="652" spans="1:29" ht="89.25">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3080</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2568</v>
      </c>
      <c r="Y652" s="67"/>
      <c r="Z652" s="341" t="s">
        <v>1042</v>
      </c>
      <c r="AA652" s="123" t="s">
        <v>1168</v>
      </c>
      <c r="AB652" s="123" t="s">
        <v>1172</v>
      </c>
      <c r="AC652" s="361"/>
    </row>
    <row r="653" spans="1:29" ht="127.5">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1804</v>
      </c>
      <c r="X653" s="67"/>
      <c r="Y653" s="67"/>
      <c r="Z653" s="341" t="s">
        <v>770</v>
      </c>
      <c r="AA653" s="123" t="s">
        <v>2849</v>
      </c>
      <c r="AB653" s="123" t="s">
        <v>1174</v>
      </c>
      <c r="AC653" s="361"/>
    </row>
    <row r="654" spans="1:29" ht="63.75">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NO</v>
      </c>
      <c r="U654" s="77"/>
      <c r="V654" s="67"/>
      <c r="W654" s="67" t="s">
        <v>75</v>
      </c>
      <c r="X654" s="67"/>
      <c r="Y654" s="67"/>
      <c r="Z654" s="341" t="s">
        <v>2864</v>
      </c>
      <c r="AA654" s="123" t="s">
        <v>1170</v>
      </c>
      <c r="AB654" s="123" t="s">
        <v>1176</v>
      </c>
      <c r="AC654" s="361"/>
    </row>
    <row r="655" spans="1:29" ht="51">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3081</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2251</v>
      </c>
      <c r="Y655" s="67"/>
      <c r="Z655" s="341" t="s">
        <v>1041</v>
      </c>
      <c r="AA655" s="123" t="s">
        <v>2849</v>
      </c>
      <c r="AB655" s="123" t="s">
        <v>1173</v>
      </c>
      <c r="AC655" s="361"/>
    </row>
    <row r="656" spans="1:29" ht="48" customHeight="1">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3095</v>
      </c>
      <c r="O656" s="67" t="str">
        <f t="shared" ca="1" si="41"/>
        <v>SI</v>
      </c>
      <c r="P656" s="67" t="str">
        <f t="shared" si="40"/>
        <v>DIANOSOL</v>
      </c>
      <c r="Q656" s="67" t="s">
        <v>904</v>
      </c>
      <c r="R656" s="67" t="str">
        <f>VLOOKUP($Q656,Resultados!$A$1:$B$49,2,FALSE)</f>
        <v>Juicio Abreviado</v>
      </c>
      <c r="S656" s="67" t="s">
        <v>228</v>
      </c>
      <c r="T656" s="77" t="str">
        <f t="shared" si="39"/>
        <v>NO</v>
      </c>
      <c r="U656" s="77"/>
      <c r="V656" s="67"/>
      <c r="W656" s="67" t="s">
        <v>2208</v>
      </c>
      <c r="X656" s="67"/>
      <c r="Y656" s="67"/>
      <c r="Z656" s="341" t="s">
        <v>770</v>
      </c>
      <c r="AA656" s="123" t="s">
        <v>1170</v>
      </c>
      <c r="AB656" s="123" t="s">
        <v>1172</v>
      </c>
      <c r="AC656" s="361"/>
    </row>
    <row r="657" spans="1:29" ht="51">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3093</v>
      </c>
      <c r="O657" s="67" t="str">
        <f t="shared" ca="1" si="41"/>
        <v>SI</v>
      </c>
      <c r="P657" s="67" t="str">
        <f t="shared" si="40"/>
        <v>DIANOSOL</v>
      </c>
      <c r="Q657" s="67" t="s">
        <v>151</v>
      </c>
      <c r="R657" s="67" t="str">
        <f>VLOOKUP($Q657,Resultados!$A$1:$B$49,2,FALSE)</f>
        <v>Prisión Preventiva</v>
      </c>
      <c r="S657" s="67" t="s">
        <v>3094</v>
      </c>
      <c r="T657" s="77" t="str">
        <f t="shared" si="39"/>
        <v>NO</v>
      </c>
      <c r="U657" s="77"/>
      <c r="V657" s="67"/>
      <c r="W657" s="74">
        <v>0.48194444444444445</v>
      </c>
      <c r="X657" s="67"/>
      <c r="Y657" s="67"/>
      <c r="Z657" s="341" t="s">
        <v>2864</v>
      </c>
      <c r="AA657" s="123" t="s">
        <v>2849</v>
      </c>
      <c r="AB657" s="123" t="s">
        <v>1174</v>
      </c>
      <c r="AC657" s="361"/>
    </row>
    <row r="658" spans="1:29" ht="1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3118</v>
      </c>
      <c r="Y658" s="67"/>
      <c r="Z658" s="341" t="s">
        <v>1041</v>
      </c>
      <c r="AA658" s="123" t="s">
        <v>1168</v>
      </c>
      <c r="AB658" s="123" t="s">
        <v>1176</v>
      </c>
      <c r="AC658" s="361"/>
    </row>
    <row r="659" spans="1:29" ht="63.75">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3122</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3123</v>
      </c>
      <c r="Y659" s="67"/>
      <c r="Z659" s="341" t="s">
        <v>2864</v>
      </c>
      <c r="AA659" s="123" t="s">
        <v>1170</v>
      </c>
      <c r="AB659" s="123" t="s">
        <v>1173</v>
      </c>
      <c r="AC659" s="361"/>
    </row>
    <row r="660" spans="1:29" ht="39.950000000000003" customHeight="1">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3125</v>
      </c>
      <c r="Y660" s="67"/>
      <c r="Z660" s="341" t="s">
        <v>2892</v>
      </c>
      <c r="AA660" s="123" t="s">
        <v>2849</v>
      </c>
      <c r="AB660" s="123" t="s">
        <v>1174</v>
      </c>
      <c r="AC660" s="361"/>
    </row>
    <row r="661" spans="1:29" ht="39.950000000000003" customHeight="1">
      <c r="A661" s="67">
        <v>701</v>
      </c>
      <c r="B661" s="69">
        <v>45194</v>
      </c>
      <c r="C661" s="74">
        <v>0.47152777777777777</v>
      </c>
      <c r="D661" s="67" t="s">
        <v>2968</v>
      </c>
      <c r="E661" s="68" t="s">
        <v>3104</v>
      </c>
      <c r="F661" s="67">
        <v>7</v>
      </c>
      <c r="G661" s="67" t="s">
        <v>43</v>
      </c>
      <c r="H661" s="69">
        <v>45201</v>
      </c>
      <c r="I661" s="69" t="s">
        <v>73</v>
      </c>
      <c r="J661" s="69" t="s">
        <v>1730</v>
      </c>
      <c r="K661" s="67" t="s">
        <v>1345</v>
      </c>
      <c r="L661" s="67" t="s">
        <v>1501</v>
      </c>
      <c r="M661" s="67" t="s">
        <v>2565</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NO</v>
      </c>
      <c r="U661" s="86"/>
      <c r="V661" s="83"/>
      <c r="W661" s="74">
        <v>0.37291666666666662</v>
      </c>
      <c r="X661" s="67"/>
      <c r="Y661" s="67"/>
      <c r="Z661" s="341" t="s">
        <v>748</v>
      </c>
      <c r="AA661" s="123" t="s">
        <v>1170</v>
      </c>
      <c r="AB661" s="123" t="s">
        <v>1176</v>
      </c>
      <c r="AC661" s="361"/>
    </row>
    <row r="662" spans="1:29" ht="39.950000000000003" customHeight="1">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3124</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1764</v>
      </c>
      <c r="Y662" s="67"/>
      <c r="Z662" s="341" t="s">
        <v>770</v>
      </c>
      <c r="AA662" s="123" t="s">
        <v>1168</v>
      </c>
      <c r="AB662" s="123" t="s">
        <v>1172</v>
      </c>
      <c r="AC662" s="361"/>
    </row>
    <row r="663" spans="1:29" ht="39.950000000000003" customHeight="1">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3119</v>
      </c>
      <c r="M663" s="67" t="s">
        <v>711</v>
      </c>
      <c r="N663" s="67" t="s">
        <v>3120</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3121</v>
      </c>
      <c r="Y663" s="67"/>
      <c r="Z663" s="341" t="s">
        <v>1041</v>
      </c>
      <c r="AA663" s="67" t="s">
        <v>3059</v>
      </c>
      <c r="AB663" s="123" t="s">
        <v>1174</v>
      </c>
      <c r="AC663" s="361"/>
    </row>
    <row r="664" spans="1:29" ht="39.950000000000003" customHeight="1">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3131</v>
      </c>
      <c r="O664" s="67" t="str">
        <f t="shared" ca="1" si="41"/>
        <v>SI</v>
      </c>
      <c r="P664" s="67" t="str">
        <f t="shared" si="40"/>
        <v>DIANOSOL</v>
      </c>
      <c r="Q664" s="67" t="s">
        <v>151</v>
      </c>
      <c r="R664" s="67" t="s">
        <v>151</v>
      </c>
      <c r="S664" s="67" t="s">
        <v>3132</v>
      </c>
      <c r="T664" s="77" t="str">
        <f t="shared" si="42"/>
        <v>NO</v>
      </c>
      <c r="U664" s="77"/>
      <c r="V664" s="67"/>
      <c r="W664" s="67" t="s">
        <v>76</v>
      </c>
      <c r="X664" s="7" t="s">
        <v>3133</v>
      </c>
      <c r="Y664" s="67"/>
      <c r="Z664" s="350" t="s">
        <v>2892</v>
      </c>
      <c r="AA664" s="350" t="s">
        <v>1170</v>
      </c>
      <c r="AB664" s="341" t="s">
        <v>1173</v>
      </c>
      <c r="AC664" s="361"/>
    </row>
    <row r="665" spans="1:29" ht="39.950000000000003" customHeight="1">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3136</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1744</v>
      </c>
      <c r="X665" s="67" t="s">
        <v>2568</v>
      </c>
      <c r="Y665" s="67"/>
      <c r="Z665" s="350" t="s">
        <v>1042</v>
      </c>
      <c r="AA665" s="350" t="s">
        <v>2849</v>
      </c>
      <c r="AB665" s="341" t="s">
        <v>1172</v>
      </c>
      <c r="AC665" s="361"/>
    </row>
    <row r="666" spans="1:29" ht="39.950000000000003" customHeight="1">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3130</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2981</v>
      </c>
      <c r="Y666" s="67"/>
      <c r="Z666" s="350" t="s">
        <v>1041</v>
      </c>
      <c r="AA666" s="350" t="s">
        <v>1170</v>
      </c>
      <c r="AB666" s="341" t="s">
        <v>1173</v>
      </c>
      <c r="AC666" s="361"/>
    </row>
    <row r="667" spans="1:29" ht="39.950000000000003" customHeight="1">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3134</v>
      </c>
      <c r="O667" s="67" t="str">
        <f t="shared" ca="1" si="41"/>
        <v>SI</v>
      </c>
      <c r="P667" s="67" t="str">
        <f t="shared" si="40"/>
        <v>DIANOSOL</v>
      </c>
      <c r="Q667" s="67" t="s">
        <v>151</v>
      </c>
      <c r="R667" s="67" t="str">
        <f>VLOOKUP($Q667,Resultados!$A$1:$B$49,2,FALSE)</f>
        <v>Prisión Preventiva</v>
      </c>
      <c r="S667" s="67" t="s">
        <v>3135</v>
      </c>
      <c r="T667" s="77" t="str">
        <f t="shared" si="42"/>
        <v>NO</v>
      </c>
      <c r="U667" s="77"/>
      <c r="V667" s="67"/>
      <c r="W667" s="67" t="s">
        <v>1018</v>
      </c>
      <c r="X667" s="67"/>
      <c r="Y667" s="67"/>
      <c r="Z667" s="350" t="s">
        <v>748</v>
      </c>
      <c r="AA667" s="350" t="s">
        <v>1168</v>
      </c>
      <c r="AB667" s="341" t="s">
        <v>1174</v>
      </c>
      <c r="AC667" s="361"/>
    </row>
    <row r="668" spans="1:29" ht="39.950000000000003" customHeight="1">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3140</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1537</v>
      </c>
      <c r="X668" s="67" t="s">
        <v>3141</v>
      </c>
      <c r="Y668" s="67"/>
      <c r="Z668" s="350" t="s">
        <v>770</v>
      </c>
      <c r="AA668" s="350" t="s">
        <v>2849</v>
      </c>
      <c r="AB668" s="341" t="s">
        <v>1176</v>
      </c>
      <c r="AC668" s="361"/>
    </row>
    <row r="669" spans="1:29" ht="39.950000000000003" customHeight="1">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3138</v>
      </c>
      <c r="O669" s="67" t="str">
        <f t="shared" ca="1" si="41"/>
        <v>SI</v>
      </c>
      <c r="P669" s="67" t="str">
        <f t="shared" si="40"/>
        <v>DIANOSOL</v>
      </c>
      <c r="Q669" s="67" t="s">
        <v>151</v>
      </c>
      <c r="R669" s="67" t="str">
        <f>VLOOKUP($Q669,Resultados!$A$1:$B$49,2,FALSE)</f>
        <v>Prisión Preventiva</v>
      </c>
      <c r="S669" s="67" t="s">
        <v>3139</v>
      </c>
      <c r="T669" s="77" t="str">
        <f t="shared" si="42"/>
        <v>NO</v>
      </c>
      <c r="U669" s="77"/>
      <c r="V669" s="67"/>
      <c r="W669" s="67" t="s">
        <v>1800</v>
      </c>
      <c r="X669" s="67" t="s">
        <v>2903</v>
      </c>
      <c r="Y669" s="67"/>
      <c r="Z669" s="350" t="s">
        <v>1042</v>
      </c>
      <c r="AA669" s="350" t="s">
        <v>1168</v>
      </c>
      <c r="AB669" s="341" t="s">
        <v>1176</v>
      </c>
      <c r="AC669" s="361"/>
    </row>
    <row r="670" spans="1:29" ht="39.950000000000003" customHeight="1">
      <c r="A670" s="67">
        <v>654</v>
      </c>
      <c r="B670" s="69">
        <v>45187</v>
      </c>
      <c r="C670" s="74">
        <v>0.50138888888888888</v>
      </c>
      <c r="D670" s="67" t="s">
        <v>2799</v>
      </c>
      <c r="E670" s="68" t="s">
        <v>3129</v>
      </c>
      <c r="F670" s="67">
        <v>8</v>
      </c>
      <c r="G670" s="67" t="s">
        <v>2770</v>
      </c>
      <c r="H670" s="69">
        <v>45202</v>
      </c>
      <c r="I670" s="69" t="s">
        <v>1086</v>
      </c>
      <c r="J670" s="69" t="s">
        <v>33</v>
      </c>
      <c r="K670" s="67">
        <f>IFERROR(VLOOKUP(J670,Jueces!$A$1:$B$11,2,FALSE),"")</f>
        <v>4</v>
      </c>
      <c r="L670" s="67" t="s">
        <v>789</v>
      </c>
      <c r="M670" s="67" t="s">
        <v>1087</v>
      </c>
      <c r="N670" s="67" t="s">
        <v>3137</v>
      </c>
      <c r="O670" s="67" t="str">
        <f t="shared" ca="1" si="41"/>
        <v>SI</v>
      </c>
      <c r="P670" s="67" t="str">
        <f t="shared" si="40"/>
        <v>DIANOSOL</v>
      </c>
      <c r="Q670" s="67" t="s">
        <v>904</v>
      </c>
      <c r="R670" s="67" t="str">
        <f>VLOOKUP($Q670,Resultados!$A$1:$B$49,2,FALSE)</f>
        <v>Juicio Abreviado</v>
      </c>
      <c r="S670" s="67" t="s">
        <v>2704</v>
      </c>
      <c r="T670" s="77" t="str">
        <f t="shared" si="42"/>
        <v>NO</v>
      </c>
      <c r="U670" s="77"/>
      <c r="V670" s="67"/>
      <c r="W670" s="67" t="s">
        <v>1242</v>
      </c>
      <c r="X670" s="67"/>
      <c r="Y670" s="67"/>
      <c r="Z670" s="350" t="s">
        <v>2864</v>
      </c>
      <c r="AA670" s="350" t="s">
        <v>1170</v>
      </c>
      <c r="AB670" s="341" t="s">
        <v>1172</v>
      </c>
      <c r="AC670" s="361"/>
    </row>
    <row r="671" spans="1:29" ht="39.950000000000003" customHeight="1">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3152</v>
      </c>
      <c r="O671" s="67" t="str">
        <f t="shared" ca="1" si="41"/>
        <v>SI</v>
      </c>
      <c r="P671" s="67" t="str">
        <f t="shared" si="40"/>
        <v>DIANOSOL</v>
      </c>
      <c r="Q671" s="67" t="s">
        <v>151</v>
      </c>
      <c r="R671" s="67" t="str">
        <f>VLOOKUP($Q671,Resultados!$A$1:$B$49,2,FALSE)</f>
        <v>Prisión Preventiva</v>
      </c>
      <c r="S671" s="67" t="s">
        <v>3153</v>
      </c>
      <c r="T671" s="77" t="str">
        <f t="shared" si="42"/>
        <v>NO</v>
      </c>
      <c r="U671" s="77"/>
      <c r="V671" s="67"/>
      <c r="W671" s="67" t="s">
        <v>3154</v>
      </c>
      <c r="X671" s="67" t="s">
        <v>3155</v>
      </c>
      <c r="Y671" s="67"/>
      <c r="Z671" s="350" t="s">
        <v>2892</v>
      </c>
      <c r="AA671" s="350" t="s">
        <v>1168</v>
      </c>
      <c r="AB671" s="341" t="s">
        <v>1174</v>
      </c>
      <c r="AC671" s="365"/>
    </row>
    <row r="672" spans="1:29" ht="39.950000000000003" customHeight="1">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3157</v>
      </c>
      <c r="O672" s="67" t="str">
        <f t="shared" ca="1" si="41"/>
        <v>SI</v>
      </c>
      <c r="P672" s="67" t="str">
        <f t="shared" si="40"/>
        <v>DIANOSOL</v>
      </c>
      <c r="Q672" s="67" t="s">
        <v>151</v>
      </c>
      <c r="R672" s="67" t="str">
        <f>VLOOKUP($Q672,Resultados!$A$1:$B$49,2,FALSE)</f>
        <v>Prisión Preventiva</v>
      </c>
      <c r="S672" s="67" t="s">
        <v>3158</v>
      </c>
      <c r="T672" s="77" t="str">
        <f t="shared" si="42"/>
        <v>SI</v>
      </c>
      <c r="U672" s="77"/>
      <c r="V672" s="67"/>
      <c r="W672" s="67" t="s">
        <v>1040</v>
      </c>
      <c r="X672" s="67" t="s">
        <v>2981</v>
      </c>
      <c r="Y672" s="67"/>
      <c r="Z672" s="350" t="s">
        <v>743</v>
      </c>
      <c r="AA672" s="350" t="s">
        <v>2849</v>
      </c>
      <c r="AB672" s="341" t="s">
        <v>3111</v>
      </c>
      <c r="AC672" s="361"/>
    </row>
    <row r="673" spans="1:29" ht="39.950000000000003" customHeight="1">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t="shared" ca="1" si="41"/>
        <v>SI</v>
      </c>
      <c r="P673" s="67" t="str">
        <f t="shared" si="40"/>
        <v>DIANOSOL</v>
      </c>
      <c r="Q673" s="67" t="s">
        <v>151</v>
      </c>
      <c r="R673" s="67" t="str">
        <f>VLOOKUP($Q673,Resultados!$A$1:$B$49,2,FALSE)</f>
        <v>Prisión Preventiva</v>
      </c>
      <c r="S673" s="67" t="s">
        <v>2418</v>
      </c>
      <c r="T673" s="77" t="str">
        <f t="shared" si="42"/>
        <v>NO</v>
      </c>
      <c r="U673" s="77"/>
      <c r="V673" s="67"/>
      <c r="W673" s="67" t="s">
        <v>1745</v>
      </c>
      <c r="X673" s="67" t="s">
        <v>2379</v>
      </c>
      <c r="Y673" s="67"/>
      <c r="Z673" s="350" t="s">
        <v>1042</v>
      </c>
      <c r="AA673" s="123" t="s">
        <v>1168</v>
      </c>
      <c r="AB673" s="123" t="s">
        <v>1172</v>
      </c>
      <c r="AC673" s="361"/>
    </row>
    <row r="674" spans="1:29" ht="39.950000000000003" customHeight="1">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1391</v>
      </c>
      <c r="X674" s="67" t="s">
        <v>3191</v>
      </c>
      <c r="Y674" s="67"/>
      <c r="Z674" s="350" t="s">
        <v>748</v>
      </c>
      <c r="AA674" s="123" t="s">
        <v>1170</v>
      </c>
      <c r="AB674" s="123" t="s">
        <v>1174</v>
      </c>
      <c r="AC674" s="361"/>
    </row>
    <row r="675" spans="1:29" ht="39.950000000000003" customHeight="1">
      <c r="A675" s="67">
        <v>686</v>
      </c>
      <c r="B675" s="69">
        <v>45191</v>
      </c>
      <c r="C675" s="74">
        <v>0.33333333333333331</v>
      </c>
      <c r="D675" s="67" t="s">
        <v>2912</v>
      </c>
      <c r="E675" s="68" t="s">
        <v>3128</v>
      </c>
      <c r="F675" s="67">
        <v>6</v>
      </c>
      <c r="G675" s="67" t="s">
        <v>43</v>
      </c>
      <c r="H675" s="69">
        <v>45203</v>
      </c>
      <c r="I675" s="69" t="s">
        <v>73</v>
      </c>
      <c r="J675" s="69" t="s">
        <v>78</v>
      </c>
      <c r="K675" s="67">
        <f>IFERROR(VLOOKUP(J675,Jueces!$A$1:$B$11,2,FALSE),"")</f>
        <v>8</v>
      </c>
      <c r="L675" s="67" t="s">
        <v>789</v>
      </c>
      <c r="M675" s="67" t="s">
        <v>887</v>
      </c>
      <c r="N675" s="67" t="s">
        <v>3190</v>
      </c>
      <c r="O675" s="67" t="str">
        <f t="shared" ca="1" si="41"/>
        <v>SI</v>
      </c>
      <c r="P675" s="67" t="str">
        <f t="shared" si="40"/>
        <v>DIANOSOL</v>
      </c>
      <c r="Q675" s="67" t="s">
        <v>904</v>
      </c>
      <c r="R675" s="67" t="str">
        <f>VLOOKUP($Q675,Resultados!$A$1:$B$49,2,FALSE)</f>
        <v>Juicio Abreviado</v>
      </c>
      <c r="S675" s="67" t="s">
        <v>1291</v>
      </c>
      <c r="T675" s="77" t="str">
        <f t="shared" si="42"/>
        <v>NO</v>
      </c>
      <c r="U675" s="77"/>
      <c r="V675" s="67"/>
      <c r="W675" s="67" t="s">
        <v>76</v>
      </c>
      <c r="X675" s="67" t="s">
        <v>2568</v>
      </c>
      <c r="Y675" s="67"/>
      <c r="Z675" s="350" t="s">
        <v>743</v>
      </c>
      <c r="AA675" s="123" t="s">
        <v>1170</v>
      </c>
      <c r="AB675" s="123" t="s">
        <v>1176</v>
      </c>
      <c r="AC675" s="361"/>
    </row>
    <row r="676" spans="1:29" ht="39.950000000000003" customHeight="1">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3194</v>
      </c>
      <c r="O676" s="67" t="str">
        <f t="shared" ca="1" si="41"/>
        <v>SI</v>
      </c>
      <c r="P676" s="67" t="str">
        <f t="shared" si="40"/>
        <v>DIANOSOL</v>
      </c>
      <c r="Q676" s="67" t="s">
        <v>151</v>
      </c>
      <c r="R676" s="67" t="s">
        <v>151</v>
      </c>
      <c r="S676" s="67" t="s">
        <v>3132</v>
      </c>
      <c r="T676" s="77" t="str">
        <f t="shared" si="42"/>
        <v>NO</v>
      </c>
      <c r="U676" s="77"/>
      <c r="V676" s="67"/>
      <c r="W676" s="67" t="s">
        <v>3195</v>
      </c>
      <c r="X676" s="67" t="s">
        <v>2379</v>
      </c>
      <c r="Y676" s="67"/>
      <c r="Z676" s="350" t="s">
        <v>770</v>
      </c>
      <c r="AA676" s="123" t="s">
        <v>2849</v>
      </c>
      <c r="AB676" s="123" t="s">
        <v>1173</v>
      </c>
      <c r="AC676" s="361"/>
    </row>
    <row r="677" spans="1:29" ht="39.950000000000003" customHeight="1">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3190</v>
      </c>
      <c r="O677" s="67" t="str">
        <f t="shared" ca="1" si="41"/>
        <v>SI</v>
      </c>
      <c r="P677" s="67" t="str">
        <f t="shared" si="40"/>
        <v>DIANOSOL</v>
      </c>
      <c r="Q677" s="67" t="s">
        <v>904</v>
      </c>
      <c r="R677" s="67" t="str">
        <f>VLOOKUP($Q677,Resultados!$A$1:$B$49,2,FALSE)</f>
        <v>Juicio Abreviado</v>
      </c>
      <c r="S677" s="67" t="s">
        <v>2901</v>
      </c>
      <c r="T677" s="77" t="str">
        <f t="shared" si="42"/>
        <v>SI</v>
      </c>
      <c r="U677" s="77"/>
      <c r="V677" s="67"/>
      <c r="W677" s="67" t="s">
        <v>1535</v>
      </c>
      <c r="X677" s="67" t="s">
        <v>2981</v>
      </c>
      <c r="Y677" s="67"/>
      <c r="Z677" s="350" t="s">
        <v>1042</v>
      </c>
      <c r="AA677" s="123" t="s">
        <v>2849</v>
      </c>
      <c r="AB677" s="123" t="s">
        <v>1173</v>
      </c>
      <c r="AC677" s="361"/>
    </row>
    <row r="678" spans="1:29" ht="39.950000000000003" customHeight="1">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2568</v>
      </c>
      <c r="Y678" s="67"/>
      <c r="Z678" s="350" t="s">
        <v>1041</v>
      </c>
      <c r="AA678" s="123" t="s">
        <v>1168</v>
      </c>
      <c r="AB678" s="123" t="s">
        <v>1172</v>
      </c>
      <c r="AC678" s="361"/>
    </row>
    <row r="679" spans="1:29" ht="39.950000000000003" customHeight="1">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3196</v>
      </c>
      <c r="T679" s="77" t="str">
        <f t="shared" si="42"/>
        <v>NO</v>
      </c>
      <c r="U679" s="77"/>
      <c r="V679" s="67"/>
      <c r="W679" s="67" t="s">
        <v>77</v>
      </c>
      <c r="X679" s="67" t="s">
        <v>3193</v>
      </c>
      <c r="Y679" s="67"/>
      <c r="Z679" s="350" t="s">
        <v>2864</v>
      </c>
      <c r="AA679" s="123" t="s">
        <v>1170</v>
      </c>
      <c r="AB679" s="123" t="s">
        <v>1174</v>
      </c>
      <c r="AC679" s="361"/>
    </row>
    <row r="680" spans="1:29" ht="39.950000000000003" customHeight="1">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3081</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3193</v>
      </c>
      <c r="Y680" s="67"/>
      <c r="Z680" s="350" t="s">
        <v>2892</v>
      </c>
      <c r="AA680" s="123" t="s">
        <v>1168</v>
      </c>
      <c r="AB680" s="123" t="s">
        <v>1176</v>
      </c>
      <c r="AC680" s="361"/>
    </row>
    <row r="681" spans="1:29" ht="39.950000000000003" customHeight="1">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3223</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2568</v>
      </c>
      <c r="Y681" s="67"/>
      <c r="Z681" s="123" t="s">
        <v>2864</v>
      </c>
      <c r="AA681" s="123" t="s">
        <v>2849</v>
      </c>
      <c r="AB681" s="123" t="s">
        <v>1174</v>
      </c>
      <c r="AC681" s="361"/>
    </row>
    <row r="682" spans="1:29" ht="39.950000000000003" customHeight="1">
      <c r="A682" s="67">
        <v>648</v>
      </c>
      <c r="B682" s="69">
        <v>45187</v>
      </c>
      <c r="C682" s="74">
        <v>0.39027777777777778</v>
      </c>
      <c r="D682" s="362" t="s">
        <v>2779</v>
      </c>
      <c r="E682" s="68" t="s">
        <v>2793</v>
      </c>
      <c r="F682" s="67">
        <v>7</v>
      </c>
      <c r="G682" s="67" t="s">
        <v>568</v>
      </c>
      <c r="H682" s="69">
        <v>45204</v>
      </c>
      <c r="I682" s="69" t="s">
        <v>73</v>
      </c>
      <c r="J682" s="69" t="s">
        <v>35</v>
      </c>
      <c r="K682" s="67">
        <f>IFERROR(VLOOKUP(J682,Jueces!$A$1:$B$11,2,FALSE),"")</f>
        <v>3</v>
      </c>
      <c r="L682" s="67" t="s">
        <v>581</v>
      </c>
      <c r="M682" s="67" t="s">
        <v>783</v>
      </c>
      <c r="N682" s="67" t="s">
        <v>3220</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2704</v>
      </c>
      <c r="X682" s="67" t="s">
        <v>3226</v>
      </c>
      <c r="Y682" s="67"/>
      <c r="Z682" s="123" t="s">
        <v>2892</v>
      </c>
      <c r="AA682" s="123" t="s">
        <v>1168</v>
      </c>
      <c r="AB682" s="123" t="s">
        <v>1176</v>
      </c>
      <c r="AC682" s="361" t="s">
        <v>1799</v>
      </c>
    </row>
    <row r="683" spans="1:29" ht="39.950000000000003" customHeight="1">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3222</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2901</v>
      </c>
      <c r="X683" s="67" t="s">
        <v>2568</v>
      </c>
      <c r="Y683" s="67"/>
      <c r="Z683" s="123" t="s">
        <v>748</v>
      </c>
      <c r="AA683" s="123" t="s">
        <v>1168</v>
      </c>
      <c r="AB683" s="123" t="s">
        <v>1173</v>
      </c>
      <c r="AC683" s="361"/>
    </row>
    <row r="684" spans="1:29" ht="39.950000000000003" customHeight="1">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SI</v>
      </c>
      <c r="U684" s="77"/>
      <c r="V684" s="67"/>
      <c r="W684" s="67" t="s">
        <v>1586</v>
      </c>
      <c r="X684" s="67"/>
      <c r="Y684" s="67"/>
      <c r="Z684" s="123" t="s">
        <v>770</v>
      </c>
      <c r="AA684" s="123" t="s">
        <v>2849</v>
      </c>
      <c r="AB684" s="123" t="s">
        <v>1172</v>
      </c>
      <c r="AC684" s="361"/>
    </row>
    <row r="685" spans="1:29" ht="39.950000000000003" customHeight="1">
      <c r="A685" s="67">
        <v>675</v>
      </c>
      <c r="B685" s="69">
        <v>45190</v>
      </c>
      <c r="C685" s="74">
        <v>0.33333333333333331</v>
      </c>
      <c r="D685" s="67" t="s">
        <v>2874</v>
      </c>
      <c r="E685" s="68" t="s">
        <v>3198</v>
      </c>
      <c r="F685" s="67">
        <v>8</v>
      </c>
      <c r="G685" s="67" t="s">
        <v>43</v>
      </c>
      <c r="H685" s="69">
        <v>45204</v>
      </c>
      <c r="I685" s="69" t="s">
        <v>1086</v>
      </c>
      <c r="J685" s="69" t="s">
        <v>1219</v>
      </c>
      <c r="K685" s="67">
        <f>IFERROR(VLOOKUP(J685,Jueces!$A$1:$B$11,2,FALSE),"")</f>
        <v>1</v>
      </c>
      <c r="L685" s="67" t="s">
        <v>813</v>
      </c>
      <c r="M685" s="67"/>
      <c r="N685" s="67" t="s">
        <v>3221</v>
      </c>
      <c r="O685" s="67" t="str">
        <f t="shared" ca="1" si="41"/>
        <v>SI</v>
      </c>
      <c r="P685" s="67" t="str">
        <f t="shared" si="40"/>
        <v>DIANOSOL</v>
      </c>
      <c r="Q685" s="67" t="s">
        <v>902</v>
      </c>
      <c r="R685" s="67" t="str">
        <f>VLOOKUP($Q685,Resultados!$A$1:$B$49,2,FALSE)</f>
        <v>Libertad</v>
      </c>
      <c r="S685" s="67" t="s">
        <v>1577</v>
      </c>
      <c r="T685" s="77" t="str">
        <f t="shared" si="42"/>
        <v>NO</v>
      </c>
      <c r="U685" s="77"/>
      <c r="V685" s="67"/>
      <c r="W685" s="67" t="s">
        <v>1130</v>
      </c>
      <c r="X685" s="67"/>
      <c r="Y685" s="67"/>
      <c r="Z685" s="123" t="s">
        <v>2892</v>
      </c>
      <c r="AA685" s="123" t="s">
        <v>2849</v>
      </c>
      <c r="AB685" s="123" t="s">
        <v>1174</v>
      </c>
      <c r="AC685" s="361"/>
    </row>
    <row r="686" spans="1:29" ht="39.950000000000003" customHeight="1">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3224</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3209</v>
      </c>
      <c r="X686" s="67" t="s">
        <v>2945</v>
      </c>
      <c r="Y686" s="67"/>
      <c r="Z686" s="123" t="s">
        <v>2864</v>
      </c>
      <c r="AA686" s="123" t="s">
        <v>1170</v>
      </c>
      <c r="AB686" s="123" t="s">
        <v>1176</v>
      </c>
      <c r="AC686" s="361"/>
    </row>
    <row r="687" spans="1:29" ht="39.950000000000003" customHeight="1">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3234</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3235</v>
      </c>
      <c r="Y687" s="67"/>
      <c r="Z687" s="341" t="s">
        <v>1041</v>
      </c>
      <c r="AA687" s="123" t="s">
        <v>1168</v>
      </c>
      <c r="AB687" s="123" t="s">
        <v>1172</v>
      </c>
      <c r="AC687" s="361"/>
    </row>
    <row r="688" spans="1:29" ht="39.950000000000003" customHeight="1">
      <c r="A688" s="67">
        <v>666</v>
      </c>
      <c r="B688" s="69">
        <v>45189</v>
      </c>
      <c r="C688" s="74">
        <v>0.41041666666666665</v>
      </c>
      <c r="D688" s="67" t="s">
        <v>2838</v>
      </c>
      <c r="E688" s="68" t="s">
        <v>3207</v>
      </c>
      <c r="F688" s="67">
        <v>8</v>
      </c>
      <c r="G688" s="67" t="s">
        <v>568</v>
      </c>
      <c r="H688" s="69">
        <v>45205</v>
      </c>
      <c r="I688" s="69" t="s">
        <v>73</v>
      </c>
      <c r="J688" s="69" t="s">
        <v>33</v>
      </c>
      <c r="K688" s="67">
        <f>IFERROR(VLOOKUP(J688,Jueces!$A$1:$B$11,2,FALSE),"")</f>
        <v>4</v>
      </c>
      <c r="L688" s="67" t="s">
        <v>802</v>
      </c>
      <c r="M688" s="67" t="s">
        <v>887</v>
      </c>
      <c r="N688" s="67" t="s">
        <v>3236</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2892</v>
      </c>
      <c r="AA688" s="123" t="s">
        <v>1168</v>
      </c>
      <c r="AB688" s="341" t="s">
        <v>1173</v>
      </c>
      <c r="AC688" s="361"/>
    </row>
    <row r="689" spans="1:29" ht="39.950000000000003" customHeight="1">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3250</v>
      </c>
      <c r="O689" s="67" t="str">
        <f t="shared" ca="1" si="41"/>
        <v>SI</v>
      </c>
      <c r="P689" s="67" t="str">
        <f t="shared" si="40"/>
        <v>DIANOSOL</v>
      </c>
      <c r="Q689" s="67" t="s">
        <v>913</v>
      </c>
      <c r="R689" s="67" t="str">
        <f>VLOOKUP($Q689,Resultados!$A$1:$B$49,2,FALSE)</f>
        <v>Prision domiciliaria</v>
      </c>
      <c r="S689" s="67" t="s">
        <v>1565</v>
      </c>
      <c r="T689" s="77" t="str">
        <f t="shared" si="42"/>
        <v>NO</v>
      </c>
      <c r="U689" s="77"/>
      <c r="V689" s="67"/>
      <c r="W689" s="67" t="s">
        <v>3251</v>
      </c>
      <c r="X689" s="67" t="s">
        <v>3252</v>
      </c>
      <c r="Y689" s="67"/>
      <c r="Z689" s="123" t="s">
        <v>770</v>
      </c>
      <c r="AA689" s="123" t="s">
        <v>3225</v>
      </c>
      <c r="AB689" s="341" t="s">
        <v>1172</v>
      </c>
      <c r="AC689" s="361"/>
    </row>
    <row r="690" spans="1:29" ht="39.950000000000003" customHeight="1">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3237</v>
      </c>
      <c r="Y690" s="67"/>
      <c r="Z690" s="123" t="s">
        <v>2864</v>
      </c>
      <c r="AA690" s="123" t="s">
        <v>2849</v>
      </c>
      <c r="AB690" s="341" t="s">
        <v>1174</v>
      </c>
      <c r="AC690" s="361"/>
    </row>
    <row r="691" spans="1:29" ht="39.950000000000003" customHeight="1">
      <c r="A691" s="67">
        <v>711</v>
      </c>
      <c r="B691" s="69">
        <v>45195</v>
      </c>
      <c r="C691" s="74">
        <v>0.54722222222222217</v>
      </c>
      <c r="D691" s="67" t="s">
        <v>3000</v>
      </c>
      <c r="E691" s="68" t="s">
        <v>3229</v>
      </c>
      <c r="F691" s="67">
        <v>8</v>
      </c>
      <c r="G691" s="67" t="s">
        <v>283</v>
      </c>
      <c r="H691" s="69">
        <v>45205</v>
      </c>
      <c r="I691" s="69" t="s">
        <v>749</v>
      </c>
      <c r="J691" s="69" t="s">
        <v>1224</v>
      </c>
      <c r="K691" s="67">
        <f>IFERROR(VLOOKUP(J691,Jueces!$A$1:$B$11,2,FALSE),"")</f>
        <v>6</v>
      </c>
      <c r="L691" s="67" t="s">
        <v>790</v>
      </c>
      <c r="M691" s="67" t="s">
        <v>767</v>
      </c>
      <c r="N691" s="67" t="s">
        <v>3243</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1449</v>
      </c>
      <c r="X691" s="67" t="s">
        <v>3244</v>
      </c>
      <c r="Y691" s="67"/>
      <c r="Z691" s="123" t="s">
        <v>1042</v>
      </c>
      <c r="AA691" s="123" t="s">
        <v>1168</v>
      </c>
      <c r="AB691" s="341" t="s">
        <v>1176</v>
      </c>
      <c r="AC691" s="361"/>
    </row>
    <row r="692" spans="1:29" ht="39.950000000000003" customHeight="1">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t="shared" ca="1" si="41"/>
        <v>SI</v>
      </c>
      <c r="P692" s="67" t="str">
        <f t="shared" si="40"/>
        <v>DIANOSOL</v>
      </c>
      <c r="Q692" s="67" t="s">
        <v>899</v>
      </c>
      <c r="R692" s="67" t="str">
        <f>VLOOKUP($Q692,Resultados!$A$1:$B$49,2,FALSE)</f>
        <v>Libertad</v>
      </c>
      <c r="S692" s="67" t="s">
        <v>2382</v>
      </c>
      <c r="T692" s="77" t="str">
        <f t="shared" ref="T692:T723" si="43">IF(G692=$J$1,"SI","NO")</f>
        <v>NO</v>
      </c>
      <c r="U692" s="77"/>
      <c r="V692" s="67"/>
      <c r="W692" s="67" t="s">
        <v>1444</v>
      </c>
      <c r="X692" s="67"/>
      <c r="Y692" s="67"/>
      <c r="Z692" s="123" t="s">
        <v>2864</v>
      </c>
      <c r="AA692" s="123" t="s">
        <v>1170</v>
      </c>
      <c r="AB692" s="341" t="s">
        <v>1173</v>
      </c>
      <c r="AC692" s="361"/>
    </row>
    <row r="693" spans="1:29" ht="39.950000000000003" customHeight="1">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SI</v>
      </c>
      <c r="U693" s="77"/>
      <c r="V693" s="67"/>
      <c r="W693" s="67" t="s">
        <v>2901</v>
      </c>
      <c r="X693" s="67"/>
      <c r="Y693" s="67"/>
      <c r="Z693" s="123" t="s">
        <v>2892</v>
      </c>
      <c r="AA693" s="123" t="s">
        <v>1168</v>
      </c>
      <c r="AB693" s="341" t="s">
        <v>1172</v>
      </c>
      <c r="AC693" s="361"/>
    </row>
    <row r="694" spans="1:29" ht="39.950000000000003" customHeight="1">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NO</v>
      </c>
      <c r="U694" s="77"/>
      <c r="V694" s="67"/>
      <c r="W694" s="67" t="s">
        <v>2901</v>
      </c>
      <c r="X694" s="67" t="s">
        <v>2945</v>
      </c>
      <c r="Y694" s="67"/>
      <c r="Z694" s="123" t="s">
        <v>770</v>
      </c>
      <c r="AA694" s="123" t="s">
        <v>2849</v>
      </c>
      <c r="AB694" s="341" t="s">
        <v>1174</v>
      </c>
      <c r="AC694" s="361"/>
    </row>
    <row r="695" spans="1:29" ht="39.950000000000003" customHeight="1">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t="shared" ca="1" si="41"/>
        <v>SI</v>
      </c>
      <c r="P695" s="67" t="str">
        <f t="shared" si="40"/>
        <v>DIANOSOL</v>
      </c>
      <c r="Q695" s="67" t="s">
        <v>904</v>
      </c>
      <c r="R695" s="67" t="str">
        <f>VLOOKUP($Q695,Resultados!$A$1:$B$49,2,FALSE)</f>
        <v>Juicio Abreviado</v>
      </c>
      <c r="S695" s="67" t="s">
        <v>2275</v>
      </c>
      <c r="T695" s="77" t="str">
        <f t="shared" si="43"/>
        <v>NO</v>
      </c>
      <c r="U695" s="77"/>
      <c r="V695" s="67"/>
      <c r="W695" s="67" t="s">
        <v>3241</v>
      </c>
      <c r="X695" s="67" t="s">
        <v>3242</v>
      </c>
      <c r="Y695" s="67"/>
      <c r="Z695" s="123" t="s">
        <v>748</v>
      </c>
      <c r="AA695" s="123" t="s">
        <v>1170</v>
      </c>
      <c r="AB695" s="341" t="s">
        <v>1176</v>
      </c>
      <c r="AC695" s="361"/>
    </row>
    <row r="696" spans="1:29" ht="39.950000000000003" customHeight="1">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3239</v>
      </c>
      <c r="T696" s="77" t="str">
        <f t="shared" si="43"/>
        <v>NO</v>
      </c>
      <c r="U696" s="77"/>
      <c r="V696" s="67"/>
      <c r="W696" s="67" t="s">
        <v>1240</v>
      </c>
      <c r="X696" s="67" t="s">
        <v>3240</v>
      </c>
      <c r="Y696" s="67"/>
      <c r="Z696" s="123" t="s">
        <v>748</v>
      </c>
      <c r="AA696" s="123" t="s">
        <v>2849</v>
      </c>
      <c r="AB696" s="341" t="s">
        <v>1173</v>
      </c>
      <c r="AC696" s="361"/>
    </row>
    <row r="697" spans="1:29" ht="39.950000000000003" customHeight="1">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3253</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3254</v>
      </c>
      <c r="Y697" s="67"/>
      <c r="Z697" s="123" t="s">
        <v>2892</v>
      </c>
      <c r="AA697" s="123" t="s">
        <v>1168</v>
      </c>
      <c r="AB697" s="123" t="s">
        <v>1172</v>
      </c>
      <c r="AC697" s="361"/>
    </row>
    <row r="698" spans="1:29" ht="39.950000000000003" customHeight="1">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3258</v>
      </c>
      <c r="O698" s="67" t="str">
        <f t="shared" ca="1" si="41"/>
        <v>SI</v>
      </c>
      <c r="P698" s="67" t="str">
        <f t="shared" si="40"/>
        <v>DIANOSOL</v>
      </c>
      <c r="Q698" s="67" t="s">
        <v>904</v>
      </c>
      <c r="R698" s="67" t="str">
        <f>VLOOKUP($Q698,Resultados!$A$1:$B$49,2,FALSE)</f>
        <v>Juicio Abreviado</v>
      </c>
      <c r="S698" s="67" t="s">
        <v>1065</v>
      </c>
      <c r="T698" s="77" t="str">
        <f t="shared" si="43"/>
        <v>NO</v>
      </c>
      <c r="U698" s="77"/>
      <c r="V698" s="67"/>
      <c r="W698" s="67" t="s">
        <v>1608</v>
      </c>
      <c r="X698" s="67" t="s">
        <v>3259</v>
      </c>
      <c r="Y698" s="67"/>
      <c r="Z698" s="123" t="s">
        <v>2864</v>
      </c>
      <c r="AA698" s="123" t="s">
        <v>2849</v>
      </c>
      <c r="AB698" s="123" t="s">
        <v>1174</v>
      </c>
      <c r="AC698" s="361"/>
    </row>
    <row r="699" spans="1:29" ht="39.950000000000003" customHeight="1">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3256</v>
      </c>
      <c r="X699" s="67" t="s">
        <v>3257</v>
      </c>
      <c r="Y699" s="67"/>
      <c r="Z699" s="123" t="s">
        <v>1041</v>
      </c>
      <c r="AA699" s="123" t="s">
        <v>1170</v>
      </c>
      <c r="AB699" s="123" t="s">
        <v>1176</v>
      </c>
      <c r="AC699" s="361"/>
    </row>
    <row r="700" spans="1:29" ht="39.950000000000003" customHeight="1">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3255</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1123</v>
      </c>
      <c r="X700" s="67" t="s">
        <v>2893</v>
      </c>
      <c r="Y700" s="67"/>
      <c r="Z700" s="123" t="s">
        <v>770</v>
      </c>
      <c r="AA700" s="123" t="s">
        <v>2849</v>
      </c>
      <c r="AB700" s="123" t="s">
        <v>1173</v>
      </c>
      <c r="AC700" s="361"/>
    </row>
    <row r="701" spans="1:29" ht="51">
      <c r="A701" s="67">
        <v>732</v>
      </c>
      <c r="B701" s="69">
        <v>45197</v>
      </c>
      <c r="C701" s="74">
        <v>0.42638888888888887</v>
      </c>
      <c r="D701" s="67" t="s">
        <v>3086</v>
      </c>
      <c r="E701" s="68" t="s">
        <v>3106</v>
      </c>
      <c r="F701" s="67">
        <v>8</v>
      </c>
      <c r="G701" s="67" t="s">
        <v>1442</v>
      </c>
      <c r="H701" s="69">
        <v>45208</v>
      </c>
      <c r="I701" s="69" t="s">
        <v>73</v>
      </c>
      <c r="J701" s="69" t="s">
        <v>1219</v>
      </c>
      <c r="K701" s="67">
        <f>IFERROR(VLOOKUP(J701,Jueces!$A$1:$B$11,2,FALSE),"")</f>
        <v>1</v>
      </c>
      <c r="L701" s="67" t="s">
        <v>829</v>
      </c>
      <c r="M701" s="67" t="s">
        <v>783</v>
      </c>
      <c r="N701" s="67" t="s">
        <v>2979</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2251</v>
      </c>
      <c r="Y701" s="67"/>
      <c r="Z701" s="123" t="s">
        <v>743</v>
      </c>
      <c r="AA701" s="123" t="s">
        <v>1168</v>
      </c>
      <c r="AB701" s="123" t="s">
        <v>1172</v>
      </c>
      <c r="AC701" s="361"/>
    </row>
    <row r="702" spans="1:29" ht="63.75">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2379</v>
      </c>
      <c r="Y702" s="67"/>
      <c r="Z702" s="123" t="s">
        <v>748</v>
      </c>
      <c r="AA702" s="123" t="s">
        <v>1170</v>
      </c>
      <c r="AB702" s="123" t="s">
        <v>1174</v>
      </c>
      <c r="AC702" s="361"/>
    </row>
    <row r="703" spans="1:29" ht="38.25">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3260</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3193</v>
      </c>
      <c r="Y703" s="67"/>
      <c r="Z703" s="123" t="s">
        <v>2864</v>
      </c>
      <c r="AA703" s="123" t="s">
        <v>1168</v>
      </c>
      <c r="AB703" s="123" t="s">
        <v>1176</v>
      </c>
      <c r="AC703" s="361"/>
    </row>
    <row r="704" spans="1:29" ht="38.25">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3271</v>
      </c>
      <c r="T704" s="77" t="str">
        <f t="shared" si="43"/>
        <v>NO</v>
      </c>
      <c r="U704" s="77"/>
      <c r="V704" s="67"/>
      <c r="W704" s="67" t="s">
        <v>1273</v>
      </c>
      <c r="X704" s="67" t="s">
        <v>3272</v>
      </c>
      <c r="Y704" s="67"/>
      <c r="Z704" s="123" t="s">
        <v>770</v>
      </c>
      <c r="AA704" s="123" t="s">
        <v>2849</v>
      </c>
      <c r="AB704" s="123" t="s">
        <v>1173</v>
      </c>
      <c r="AC704" s="361"/>
    </row>
    <row r="705" spans="1:29" ht="51">
      <c r="A705" s="67">
        <v>729</v>
      </c>
      <c r="B705" s="69">
        <v>45198</v>
      </c>
      <c r="C705" s="67" t="s">
        <v>1465</v>
      </c>
      <c r="D705" s="67" t="s">
        <v>3082</v>
      </c>
      <c r="E705" s="68" t="s">
        <v>3083</v>
      </c>
      <c r="F705" s="67">
        <v>1</v>
      </c>
      <c r="G705" s="67" t="s">
        <v>2785</v>
      </c>
      <c r="H705" s="69">
        <v>45208</v>
      </c>
      <c r="I705" s="69" t="s">
        <v>1086</v>
      </c>
      <c r="J705" s="69" t="s">
        <v>1220</v>
      </c>
      <c r="K705" s="67" t="s">
        <v>1924</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3193</v>
      </c>
      <c r="Y705" s="67"/>
      <c r="Z705" s="123" t="s">
        <v>2892</v>
      </c>
      <c r="AA705" s="123" t="s">
        <v>1170</v>
      </c>
      <c r="AB705" s="123" t="s">
        <v>1172</v>
      </c>
      <c r="AC705" s="361"/>
    </row>
    <row r="706" spans="1:29" ht="89.25">
      <c r="A706" s="67">
        <v>756</v>
      </c>
      <c r="B706" s="69">
        <v>45202</v>
      </c>
      <c r="C706" s="74">
        <v>0.54791666666666672</v>
      </c>
      <c r="D706" s="67" t="s">
        <v>3172</v>
      </c>
      <c r="E706" s="68" t="s">
        <v>3238</v>
      </c>
      <c r="F706" s="67">
        <v>8</v>
      </c>
      <c r="G706" s="67" t="s">
        <v>2771</v>
      </c>
      <c r="H706" s="69">
        <v>45208</v>
      </c>
      <c r="I706" s="69" t="s">
        <v>1086</v>
      </c>
      <c r="J706" s="69" t="s">
        <v>2951</v>
      </c>
      <c r="K706" s="67" t="s">
        <v>2391</v>
      </c>
      <c r="L706" s="67" t="s">
        <v>798</v>
      </c>
      <c r="M706" s="67" t="s">
        <v>1031</v>
      </c>
      <c r="N706" s="67" t="s">
        <v>3273</v>
      </c>
      <c r="O706" s="67" t="str">
        <f t="shared" ca="1" si="41"/>
        <v>SI</v>
      </c>
      <c r="P706" s="67" t="str">
        <f t="shared" si="40"/>
        <v>DIANOSOL</v>
      </c>
      <c r="Q706" s="67" t="s">
        <v>905</v>
      </c>
      <c r="R706" s="67" t="str">
        <f>VLOOKUP($Q706,Resultados!$A$1:$B$49,2,FALSE)</f>
        <v>Juicio Abreviado</v>
      </c>
      <c r="S706" s="67" t="s">
        <v>3274</v>
      </c>
      <c r="T706" s="77" t="str">
        <f t="shared" si="43"/>
        <v>NO</v>
      </c>
      <c r="U706" s="77"/>
      <c r="V706" s="67"/>
      <c r="W706" s="67" t="s">
        <v>3275</v>
      </c>
      <c r="X706" s="67" t="s">
        <v>3276</v>
      </c>
      <c r="Y706" s="67"/>
      <c r="Z706" s="123" t="s">
        <v>748</v>
      </c>
      <c r="AA706" s="341" t="s">
        <v>2849</v>
      </c>
      <c r="AB706" s="123" t="s">
        <v>1174</v>
      </c>
      <c r="AC706" s="361"/>
    </row>
    <row r="707" spans="1:29" ht="63.75">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3285</v>
      </c>
      <c r="T707" s="86" t="str">
        <f t="shared" si="43"/>
        <v>NO</v>
      </c>
      <c r="U707" s="86"/>
      <c r="V707" s="83"/>
      <c r="W707" s="67" t="s">
        <v>3132</v>
      </c>
      <c r="X707" s="67" t="s">
        <v>3312</v>
      </c>
      <c r="Y707" s="67"/>
      <c r="Z707" s="123" t="s">
        <v>2864</v>
      </c>
      <c r="AA707" s="123" t="s">
        <v>2849</v>
      </c>
      <c r="AB707" s="123" t="s">
        <v>1176</v>
      </c>
      <c r="AC707" s="361"/>
    </row>
    <row r="708" spans="1:29" ht="38.25">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3313</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3289</v>
      </c>
      <c r="Y708" s="67"/>
      <c r="Z708" s="123" t="s">
        <v>770</v>
      </c>
      <c r="AA708" s="123" t="s">
        <v>2849</v>
      </c>
      <c r="AB708" s="123" t="s">
        <v>1173</v>
      </c>
      <c r="AC708" s="361"/>
    </row>
    <row r="709" spans="1:29" ht="63.75">
      <c r="A709" s="67">
        <v>718</v>
      </c>
      <c r="B709" s="69">
        <v>45197</v>
      </c>
      <c r="C709" s="74">
        <v>0.33333333333333331</v>
      </c>
      <c r="D709" s="67" t="s">
        <v>3034</v>
      </c>
      <c r="E709" s="68" t="s">
        <v>3105</v>
      </c>
      <c r="F709" s="67">
        <v>1</v>
      </c>
      <c r="G709" s="67" t="s">
        <v>43</v>
      </c>
      <c r="H709" s="69">
        <v>45209</v>
      </c>
      <c r="I709" s="69" t="s">
        <v>73</v>
      </c>
      <c r="J709" s="69" t="s">
        <v>2951</v>
      </c>
      <c r="K709" s="67" t="s">
        <v>2340</v>
      </c>
      <c r="L709" s="67" t="s">
        <v>2235</v>
      </c>
      <c r="M709" s="67" t="s">
        <v>700</v>
      </c>
      <c r="N709" s="67" t="s">
        <v>3287</v>
      </c>
      <c r="O709" s="83" t="str">
        <f t="shared" ca="1" si="41"/>
        <v>SI</v>
      </c>
      <c r="P709" s="83" t="str">
        <f t="shared" si="44"/>
        <v>DIANOSOL</v>
      </c>
      <c r="Q709" s="67" t="s">
        <v>905</v>
      </c>
      <c r="R709" s="67" t="str">
        <f>VLOOKUP($Q709,Resultados!$A$1:$B$49,2,FALSE)</f>
        <v>Juicio Abreviado</v>
      </c>
      <c r="S709" s="67" t="s">
        <v>1428</v>
      </c>
      <c r="T709" s="86" t="str">
        <f t="shared" si="43"/>
        <v>NO</v>
      </c>
      <c r="U709" s="86"/>
      <c r="V709" s="83"/>
      <c r="W709" s="67" t="s">
        <v>1496</v>
      </c>
      <c r="X709" s="67" t="s">
        <v>3288</v>
      </c>
      <c r="Y709" s="67"/>
      <c r="Z709" s="123" t="s">
        <v>748</v>
      </c>
      <c r="AA709" s="123" t="s">
        <v>1170</v>
      </c>
      <c r="AB709" s="123" t="s">
        <v>1172</v>
      </c>
      <c r="AC709" s="361"/>
    </row>
    <row r="710" spans="1:29" ht="76.5">
      <c r="A710" s="67">
        <v>727</v>
      </c>
      <c r="B710" s="69">
        <v>45197</v>
      </c>
      <c r="C710" s="74">
        <v>0.50138888888888888</v>
      </c>
      <c r="D710" s="67" t="s">
        <v>3074</v>
      </c>
      <c r="E710" s="68" t="s">
        <v>3099</v>
      </c>
      <c r="F710" s="67">
        <v>1</v>
      </c>
      <c r="G710" s="67" t="s">
        <v>2835</v>
      </c>
      <c r="H710" s="69">
        <v>45209</v>
      </c>
      <c r="I710" s="69" t="s">
        <v>73</v>
      </c>
      <c r="J710" s="69" t="s">
        <v>1219</v>
      </c>
      <c r="K710" s="67">
        <f>IFERROR(VLOOKUP(J710,Jueces!$A$1:$B$11,2,FALSE),"")</f>
        <v>1</v>
      </c>
      <c r="L710" s="67" t="s">
        <v>2088</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3286</v>
      </c>
      <c r="Y710" s="67"/>
      <c r="Z710" s="123" t="s">
        <v>2892</v>
      </c>
      <c r="AA710" s="123" t="s">
        <v>2849</v>
      </c>
      <c r="AB710" s="123" t="s">
        <v>1174</v>
      </c>
      <c r="AC710" s="361"/>
    </row>
    <row r="711" spans="1:29" ht="51">
      <c r="A711" s="67">
        <v>733</v>
      </c>
      <c r="B711" s="69">
        <v>45197</v>
      </c>
      <c r="C711" s="67" t="s">
        <v>1273</v>
      </c>
      <c r="D711" s="67" t="s">
        <v>3087</v>
      </c>
      <c r="E711" s="68" t="s">
        <v>3088</v>
      </c>
      <c r="F711" s="67">
        <v>8</v>
      </c>
      <c r="G711" s="67" t="s">
        <v>283</v>
      </c>
      <c r="H711" s="69">
        <v>45209</v>
      </c>
      <c r="I711" s="69" t="s">
        <v>749</v>
      </c>
      <c r="J711" s="69" t="s">
        <v>1224</v>
      </c>
      <c r="K711" s="67">
        <f>IFERROR(VLOOKUP(J711,Jueces!$A$1:$B$11,2,FALSE),"")</f>
        <v>6</v>
      </c>
      <c r="L711" s="67" t="s">
        <v>799</v>
      </c>
      <c r="M711" s="67" t="s">
        <v>711</v>
      </c>
      <c r="N711" s="360" t="s">
        <v>577</v>
      </c>
      <c r="O711" s="83" t="str">
        <f t="shared" ca="1" si="41"/>
        <v>SI</v>
      </c>
      <c r="P711" s="83" t="str">
        <f t="shared" si="44"/>
        <v>DIANOSOL</v>
      </c>
      <c r="Q711" s="67" t="s">
        <v>151</v>
      </c>
      <c r="R711" s="67" t="str">
        <f>VLOOKUP($Q711,Resultados!$A$1:$B$49,2,FALSE)</f>
        <v>Prisión Preventiva</v>
      </c>
      <c r="S711" s="67" t="s">
        <v>1245</v>
      </c>
      <c r="T711" s="86" t="str">
        <f t="shared" si="43"/>
        <v>NO</v>
      </c>
      <c r="U711" s="86"/>
      <c r="V711" s="83"/>
      <c r="W711" s="67" t="s">
        <v>1537</v>
      </c>
      <c r="X711" s="67"/>
      <c r="Y711" s="67"/>
      <c r="Z711" s="123" t="s">
        <v>743</v>
      </c>
      <c r="AA711" s="123" t="s">
        <v>1168</v>
      </c>
      <c r="AB711" s="123" t="s">
        <v>1173</v>
      </c>
      <c r="AC711" s="361"/>
    </row>
    <row r="712" spans="1:29" ht="63.75">
      <c r="A712" s="67">
        <v>712</v>
      </c>
      <c r="B712" s="69">
        <v>45196</v>
      </c>
      <c r="C712" s="74">
        <v>0.34236111111111112</v>
      </c>
      <c r="D712" s="67" t="s">
        <v>3008</v>
      </c>
      <c r="E712" s="68" t="s">
        <v>3097</v>
      </c>
      <c r="F712" s="67">
        <v>1</v>
      </c>
      <c r="G712" s="67" t="s">
        <v>2785</v>
      </c>
      <c r="H712" s="69">
        <v>45209</v>
      </c>
      <c r="I712" s="69" t="s">
        <v>1086</v>
      </c>
      <c r="J712" s="69" t="s">
        <v>1220</v>
      </c>
      <c r="K712" s="67" t="s">
        <v>2340</v>
      </c>
      <c r="L712" s="67" t="s">
        <v>812</v>
      </c>
      <c r="M712" s="67" t="s">
        <v>712</v>
      </c>
      <c r="N712" s="67" t="s">
        <v>3281</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1744</v>
      </c>
      <c r="X712" s="67" t="s">
        <v>3282</v>
      </c>
      <c r="Y712" s="67"/>
      <c r="Z712" s="123" t="s">
        <v>748</v>
      </c>
      <c r="AA712" s="123" t="s">
        <v>1170</v>
      </c>
      <c r="AB712" s="123" t="s">
        <v>1172</v>
      </c>
      <c r="AC712" s="361"/>
    </row>
    <row r="713" spans="1:29" ht="63.75">
      <c r="A713" s="67">
        <v>715</v>
      </c>
      <c r="B713" s="69">
        <v>45196</v>
      </c>
      <c r="C713" s="74">
        <v>0.49791666666666662</v>
      </c>
      <c r="D713" s="67" t="s">
        <v>3024</v>
      </c>
      <c r="E713" s="68" t="s">
        <v>3261</v>
      </c>
      <c r="F713" s="67">
        <v>8</v>
      </c>
      <c r="G713" s="67" t="s">
        <v>1442</v>
      </c>
      <c r="H713" s="69">
        <v>45209</v>
      </c>
      <c r="I713" s="69" t="s">
        <v>1086</v>
      </c>
      <c r="J713" s="69" t="s">
        <v>2948</v>
      </c>
      <c r="K713" s="67" t="s">
        <v>1924</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2905</v>
      </c>
      <c r="X713" s="67" t="s">
        <v>2568</v>
      </c>
      <c r="Y713" s="67"/>
      <c r="Z713" s="123" t="s">
        <v>770</v>
      </c>
      <c r="AA713" s="123" t="s">
        <v>1170</v>
      </c>
      <c r="AB713" s="123" t="s">
        <v>1174</v>
      </c>
      <c r="AC713" s="361"/>
    </row>
    <row r="714" spans="1:29" ht="51">
      <c r="A714" s="67">
        <v>721</v>
      </c>
      <c r="B714" s="69">
        <v>45197</v>
      </c>
      <c r="C714" s="67" t="s">
        <v>1569</v>
      </c>
      <c r="D714" s="67" t="s">
        <v>3041</v>
      </c>
      <c r="E714" s="68" t="s">
        <v>3126</v>
      </c>
      <c r="F714" s="67">
        <v>1</v>
      </c>
      <c r="G714" s="67" t="s">
        <v>2770</v>
      </c>
      <c r="H714" s="69">
        <v>45209</v>
      </c>
      <c r="I714" s="69" t="s">
        <v>1086</v>
      </c>
      <c r="J714" s="69" t="s">
        <v>33</v>
      </c>
      <c r="K714" s="67">
        <f>IFERROR(VLOOKUP(J714,Jueces!$A$1:$B$11,2,FALSE),"")</f>
        <v>4</v>
      </c>
      <c r="L714" s="67" t="s">
        <v>791</v>
      </c>
      <c r="M714" s="67" t="s">
        <v>711</v>
      </c>
      <c r="N714" s="67" t="s">
        <v>3290</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3291</v>
      </c>
      <c r="Y714" s="67"/>
      <c r="Z714" s="123" t="s">
        <v>2864</v>
      </c>
      <c r="AA714" s="123" t="s">
        <v>1168</v>
      </c>
      <c r="AB714" s="123" t="s">
        <v>1176</v>
      </c>
      <c r="AC714" s="361"/>
    </row>
    <row r="715" spans="1:29" ht="38.25">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3314</v>
      </c>
      <c r="O715" s="83" t="str">
        <f t="shared" ca="1" si="41"/>
        <v>SI</v>
      </c>
      <c r="P715" s="83" t="str">
        <f t="shared" si="44"/>
        <v>DIANOSOL</v>
      </c>
      <c r="Q715" s="67" t="s">
        <v>904</v>
      </c>
      <c r="R715" s="67" t="str">
        <f>VLOOKUP($Q715,Resultados!$A$1:$B$49,2,FALSE)</f>
        <v>Juicio Abreviado</v>
      </c>
      <c r="S715" s="67" t="s">
        <v>3292</v>
      </c>
      <c r="T715" s="86" t="str">
        <f t="shared" si="43"/>
        <v>NO</v>
      </c>
      <c r="U715" s="86"/>
      <c r="V715" s="83"/>
      <c r="W715" s="67" t="s">
        <v>3293</v>
      </c>
      <c r="X715" s="67" t="s">
        <v>3294</v>
      </c>
      <c r="Y715" s="67"/>
      <c r="Z715" s="123" t="s">
        <v>2892</v>
      </c>
      <c r="AA715" s="67"/>
      <c r="AB715" s="123" t="s">
        <v>1173</v>
      </c>
      <c r="AC715" s="361"/>
    </row>
    <row r="716" spans="1:29" ht="38.25">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3100</v>
      </c>
      <c r="N716" s="67" t="s">
        <v>3357</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2864</v>
      </c>
      <c r="AA716" s="123" t="s">
        <v>2849</v>
      </c>
      <c r="AB716" s="123" t="s">
        <v>3298</v>
      </c>
      <c r="AC716" s="361"/>
    </row>
    <row r="717" spans="1:29" ht="76.5">
      <c r="A717" s="67">
        <v>704</v>
      </c>
      <c r="B717" s="69">
        <v>45195</v>
      </c>
      <c r="C717" s="74">
        <v>0.4055555555555555</v>
      </c>
      <c r="D717" s="67" t="s">
        <v>2975</v>
      </c>
      <c r="E717" s="68" t="s">
        <v>3156</v>
      </c>
      <c r="F717" s="67">
        <v>1</v>
      </c>
      <c r="G717" s="67" t="s">
        <v>2770</v>
      </c>
      <c r="H717" s="69">
        <v>45210</v>
      </c>
      <c r="I717" s="69" t="s">
        <v>73</v>
      </c>
      <c r="J717" s="69" t="s">
        <v>2951</v>
      </c>
      <c r="K717" s="67" t="s">
        <v>2391</v>
      </c>
      <c r="L717" s="67" t="s">
        <v>791</v>
      </c>
      <c r="M717" s="67" t="s">
        <v>711</v>
      </c>
      <c r="N717" s="67" t="s">
        <v>1751</v>
      </c>
      <c r="O717" s="83" t="str">
        <f t="shared" ca="1" si="41"/>
        <v>SI</v>
      </c>
      <c r="P717" s="83" t="str">
        <f t="shared" si="44"/>
        <v>DIANOSOL</v>
      </c>
      <c r="Q717" s="67" t="s">
        <v>151</v>
      </c>
      <c r="R717" s="67" t="str">
        <f>VLOOKUP($Q717,Resultados!$A$1:$B$49,2,FALSE)</f>
        <v>Prisión Preventiva</v>
      </c>
      <c r="S717" s="67" t="s">
        <v>2708</v>
      </c>
      <c r="T717" s="86" t="str">
        <f t="shared" si="43"/>
        <v>NO</v>
      </c>
      <c r="U717" s="86"/>
      <c r="V717" s="83"/>
      <c r="W717" s="67" t="s">
        <v>1034</v>
      </c>
      <c r="X717" s="155"/>
      <c r="Y717" s="67"/>
      <c r="Z717" s="123" t="s">
        <v>748</v>
      </c>
      <c r="AA717" s="123" t="s">
        <v>1168</v>
      </c>
      <c r="AB717" s="123" t="s">
        <v>1172</v>
      </c>
      <c r="AC717" s="361"/>
    </row>
    <row r="718" spans="1:29" ht="63.75">
      <c r="A718" s="67">
        <v>714</v>
      </c>
      <c r="B718" s="69">
        <v>45196</v>
      </c>
      <c r="C718" s="74">
        <v>0.48194444444444445</v>
      </c>
      <c r="D718" s="67" t="s">
        <v>3021</v>
      </c>
      <c r="E718" s="68" t="s">
        <v>3308</v>
      </c>
      <c r="F718" s="67">
        <v>1</v>
      </c>
      <c r="G718" s="67" t="s">
        <v>568</v>
      </c>
      <c r="H718" s="69">
        <v>45210</v>
      </c>
      <c r="I718" s="69" t="s">
        <v>73</v>
      </c>
      <c r="J718" s="69" t="s">
        <v>35</v>
      </c>
      <c r="K718" s="67">
        <f>IFERROR(VLOOKUP(J718,Jueces!$A$1:$B$11,2,FALSE),"")</f>
        <v>3</v>
      </c>
      <c r="L718" s="67" t="s">
        <v>2086</v>
      </c>
      <c r="M718" s="67" t="s">
        <v>712</v>
      </c>
      <c r="N718" s="67" t="s">
        <v>3345</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3346</v>
      </c>
      <c r="Y718" s="67"/>
      <c r="Z718" s="123" t="s">
        <v>770</v>
      </c>
      <c r="AA718" s="123" t="s">
        <v>1168</v>
      </c>
      <c r="AB718" s="123" t="s">
        <v>3297</v>
      </c>
      <c r="AC718" s="361"/>
    </row>
    <row r="719" spans="1:29" ht="51">
      <c r="A719" s="67">
        <v>717</v>
      </c>
      <c r="B719" s="69">
        <v>45197</v>
      </c>
      <c r="C719" s="74">
        <v>0.33333333333333331</v>
      </c>
      <c r="D719" s="67" t="s">
        <v>3035</v>
      </c>
      <c r="E719" s="68" t="s">
        <v>3101</v>
      </c>
      <c r="F719" s="67">
        <v>8</v>
      </c>
      <c r="G719" s="67" t="s">
        <v>2835</v>
      </c>
      <c r="H719" s="69">
        <v>45210</v>
      </c>
      <c r="I719" s="69" t="s">
        <v>73</v>
      </c>
      <c r="J719" s="69" t="s">
        <v>1730</v>
      </c>
      <c r="K719" s="67" t="s">
        <v>1345</v>
      </c>
      <c r="L719" s="67" t="s">
        <v>809</v>
      </c>
      <c r="M719" s="67"/>
      <c r="N719" s="67" t="s">
        <v>3407</v>
      </c>
      <c r="O719" s="83" t="str">
        <f t="shared" ca="1" si="45"/>
        <v>SI</v>
      </c>
      <c r="P719" s="83" t="str">
        <f t="shared" si="44"/>
        <v>DIANOSOL</v>
      </c>
      <c r="Q719" s="67" t="s">
        <v>905</v>
      </c>
      <c r="R719" s="67" t="s">
        <v>100</v>
      </c>
      <c r="S719" s="67" t="s">
        <v>3351</v>
      </c>
      <c r="T719" s="86" t="str">
        <f t="shared" si="43"/>
        <v>NO</v>
      </c>
      <c r="U719" s="86"/>
      <c r="V719" s="83"/>
      <c r="W719" s="67" t="s">
        <v>3352</v>
      </c>
      <c r="X719" s="233"/>
      <c r="Y719" s="67"/>
      <c r="Z719" s="123" t="s">
        <v>2892</v>
      </c>
      <c r="AA719" s="123" t="s">
        <v>2849</v>
      </c>
      <c r="AB719" s="123" t="s">
        <v>1174</v>
      </c>
      <c r="AC719" s="361"/>
    </row>
    <row r="720" spans="1:29" ht="51">
      <c r="A720" s="67">
        <v>707</v>
      </c>
      <c r="B720" s="69">
        <v>45195</v>
      </c>
      <c r="C720" s="74">
        <v>0.5395833333333333</v>
      </c>
      <c r="D720" s="67" t="s">
        <v>2994</v>
      </c>
      <c r="E720" s="68" t="s">
        <v>3098</v>
      </c>
      <c r="F720" s="67">
        <v>1</v>
      </c>
      <c r="G720" s="67" t="s">
        <v>1441</v>
      </c>
      <c r="H720" s="69">
        <v>45210</v>
      </c>
      <c r="I720" s="69" t="s">
        <v>1086</v>
      </c>
      <c r="J720" s="69" t="s">
        <v>2948</v>
      </c>
      <c r="K720" s="67" t="s">
        <v>1924</v>
      </c>
      <c r="L720" s="67" t="s">
        <v>2235</v>
      </c>
      <c r="M720" s="67" t="s">
        <v>712</v>
      </c>
      <c r="N720" s="67" t="s">
        <v>3347</v>
      </c>
      <c r="O720" s="83" t="str">
        <f t="shared" ca="1" si="45"/>
        <v>SI</v>
      </c>
      <c r="P720" s="83" t="str">
        <f t="shared" si="44"/>
        <v>DIANOSOL</v>
      </c>
      <c r="Q720" s="67" t="s">
        <v>899</v>
      </c>
      <c r="R720" s="67" t="str">
        <f>VLOOKUP($Q720,Resultados!$A$1:$B$49,2,FALSE)</f>
        <v>Libertad</v>
      </c>
      <c r="S720" s="67" t="s">
        <v>1050</v>
      </c>
      <c r="T720" s="86" t="str">
        <f t="shared" si="43"/>
        <v>NO</v>
      </c>
      <c r="U720" s="86"/>
      <c r="V720" s="83"/>
      <c r="W720" s="67" t="s">
        <v>1275</v>
      </c>
      <c r="X720" s="67"/>
      <c r="Y720" s="67"/>
      <c r="Z720" s="123" t="s">
        <v>2864</v>
      </c>
      <c r="AA720" s="123" t="s">
        <v>1170</v>
      </c>
      <c r="AB720" s="123" t="s">
        <v>1176</v>
      </c>
      <c r="AC720" s="361"/>
    </row>
    <row r="721" spans="1:29" ht="38.25">
      <c r="A721" s="67">
        <v>751</v>
      </c>
      <c r="B721" s="69">
        <v>45202</v>
      </c>
      <c r="C721" s="74">
        <v>0.44861111111111113</v>
      </c>
      <c r="D721" s="67" t="s">
        <v>3165</v>
      </c>
      <c r="E721" s="68" t="s">
        <v>3204</v>
      </c>
      <c r="F721" s="67">
        <v>2</v>
      </c>
      <c r="G721" s="67" t="s">
        <v>1442</v>
      </c>
      <c r="H721" s="69">
        <v>45210</v>
      </c>
      <c r="I721" s="69" t="s">
        <v>1086</v>
      </c>
      <c r="J721" s="69" t="s">
        <v>1224</v>
      </c>
      <c r="K721" s="67">
        <f>IFERROR(VLOOKUP(J721,Jueces!$A$1:$B$11,2,FALSE),"")</f>
        <v>6</v>
      </c>
      <c r="L721" s="67" t="s">
        <v>791</v>
      </c>
      <c r="M721" s="67" t="s">
        <v>692</v>
      </c>
      <c r="N721" s="67" t="s">
        <v>3358</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41" t="s">
        <v>1170</v>
      </c>
      <c r="AB721" s="123" t="s">
        <v>1173</v>
      </c>
      <c r="AC721" s="361"/>
    </row>
    <row r="722" spans="1:29" ht="76.5">
      <c r="A722" s="67">
        <v>709</v>
      </c>
      <c r="B722" s="69">
        <v>45195</v>
      </c>
      <c r="C722" s="74">
        <v>0.53194444444444444</v>
      </c>
      <c r="D722" s="67" t="s">
        <v>2996</v>
      </c>
      <c r="E722" s="68" t="s">
        <v>3109</v>
      </c>
      <c r="F722" s="67">
        <v>1</v>
      </c>
      <c r="G722" s="67" t="s">
        <v>283</v>
      </c>
      <c r="H722" s="69">
        <v>45210</v>
      </c>
      <c r="I722" s="69" t="s">
        <v>547</v>
      </c>
      <c r="J722" s="69" t="s">
        <v>33</v>
      </c>
      <c r="K722" s="67">
        <f>IFERROR(VLOOKUP(J722,Jueces!$A$1:$B$11,2,FALSE),"")</f>
        <v>4</v>
      </c>
      <c r="L722" s="67" t="s">
        <v>812</v>
      </c>
      <c r="M722" s="67" t="s">
        <v>711</v>
      </c>
      <c r="N722" s="67" t="s">
        <v>3349</v>
      </c>
      <c r="O722" s="83" t="str">
        <f t="shared" ca="1" si="45"/>
        <v>SI</v>
      </c>
      <c r="P722" s="83" t="str">
        <f t="shared" si="44"/>
        <v>DIANOSOL</v>
      </c>
      <c r="Q722" s="67" t="s">
        <v>904</v>
      </c>
      <c r="R722" s="67" t="str">
        <f>VLOOKUP($Q722,Resultados!$A$1:$B$49,2,FALSE)</f>
        <v>Juicio Abreviado</v>
      </c>
      <c r="S722" s="67" t="s">
        <v>3348</v>
      </c>
      <c r="T722" s="86" t="str">
        <f t="shared" si="43"/>
        <v>NO</v>
      </c>
      <c r="U722" s="86"/>
      <c r="V722" s="83"/>
      <c r="W722" s="67" t="s">
        <v>1637</v>
      </c>
      <c r="X722" s="273" t="s">
        <v>3350</v>
      </c>
      <c r="Y722" s="67"/>
      <c r="Z722" s="123" t="s">
        <v>2892</v>
      </c>
      <c r="AA722" s="123" t="s">
        <v>2849</v>
      </c>
      <c r="AB722" s="123" t="s">
        <v>1172</v>
      </c>
      <c r="AC722" s="361"/>
    </row>
    <row r="723" spans="1:29" ht="63.75">
      <c r="A723" s="67">
        <v>730</v>
      </c>
      <c r="B723" s="69">
        <v>45198</v>
      </c>
      <c r="C723" s="67" t="s">
        <v>2275</v>
      </c>
      <c r="D723" s="67" t="s">
        <v>3084</v>
      </c>
      <c r="E723" s="68" t="s">
        <v>3280</v>
      </c>
      <c r="F723" s="67">
        <v>1</v>
      </c>
      <c r="G723" s="67" t="s">
        <v>29</v>
      </c>
      <c r="H723" s="69">
        <v>45210</v>
      </c>
      <c r="I723" s="69" t="s">
        <v>1561</v>
      </c>
      <c r="J723" s="69" t="s">
        <v>1220</v>
      </c>
      <c r="K723" s="67" t="s">
        <v>1345</v>
      </c>
      <c r="L723" s="67" t="s">
        <v>2734</v>
      </c>
      <c r="M723" s="67" t="s">
        <v>711</v>
      </c>
      <c r="N723" s="67" t="s">
        <v>1751</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3355</v>
      </c>
      <c r="X723" s="372" t="s">
        <v>3356</v>
      </c>
      <c r="Y723" s="67"/>
      <c r="Z723" s="123" t="s">
        <v>770</v>
      </c>
      <c r="AA723" s="123" t="s">
        <v>1170</v>
      </c>
      <c r="AB723" s="123" t="s">
        <v>3297</v>
      </c>
      <c r="AC723" s="361"/>
    </row>
    <row r="724" spans="1:29" ht="63.75">
      <c r="A724" s="67">
        <v>736</v>
      </c>
      <c r="B724" s="69">
        <v>45197</v>
      </c>
      <c r="C724" s="67" t="s">
        <v>1464</v>
      </c>
      <c r="D724" s="67" t="s">
        <v>3103</v>
      </c>
      <c r="E724" s="68" t="s">
        <v>3110</v>
      </c>
      <c r="F724" s="67">
        <v>1</v>
      </c>
      <c r="G724" s="67" t="s">
        <v>1440</v>
      </c>
      <c r="H724" s="69">
        <v>45210</v>
      </c>
      <c r="I724" s="69" t="s">
        <v>1561</v>
      </c>
      <c r="J724" s="69" t="s">
        <v>33</v>
      </c>
      <c r="K724" s="67">
        <f>IFERROR(VLOOKUP(J724,Jueces!$A$1:$B$11,2,FALSE),"")</f>
        <v>4</v>
      </c>
      <c r="L724" s="67" t="s">
        <v>799</v>
      </c>
      <c r="M724" s="67" t="s">
        <v>1178</v>
      </c>
      <c r="N724" s="67" t="s">
        <v>3353</v>
      </c>
      <c r="O724" s="83" t="str">
        <f t="shared" ca="1" si="45"/>
        <v>SI</v>
      </c>
      <c r="P724" s="83" t="str">
        <f t="shared" si="44"/>
        <v>DIANOSOL</v>
      </c>
      <c r="Q724" s="67" t="s">
        <v>905</v>
      </c>
      <c r="R724" s="67" t="str">
        <f>VLOOKUP($Q724,Resultados!$A$1:$B$49,2,FALSE)</f>
        <v>Juicio Abreviado</v>
      </c>
      <c r="S724" s="67" t="s">
        <v>3351</v>
      </c>
      <c r="T724" s="67" t="s">
        <v>3352</v>
      </c>
      <c r="U724" s="86"/>
      <c r="V724" s="83"/>
      <c r="W724" s="67" t="s">
        <v>3352</v>
      </c>
      <c r="X724" s="229" t="s">
        <v>3354</v>
      </c>
      <c r="Y724" s="67"/>
      <c r="Z724" s="123" t="s">
        <v>743</v>
      </c>
      <c r="AA724" s="123" t="s">
        <v>1168</v>
      </c>
      <c r="AB724" s="123" t="s">
        <v>1174</v>
      </c>
      <c r="AC724" s="361"/>
    </row>
    <row r="725" spans="1:29" ht="178.5">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3404</v>
      </c>
      <c r="O725" s="67" t="str">
        <f t="shared" ca="1" si="45"/>
        <v>SI</v>
      </c>
      <c r="P725" s="67" t="str">
        <f t="shared" si="44"/>
        <v>DIANOSOL</v>
      </c>
      <c r="Q725" s="67" t="s">
        <v>151</v>
      </c>
      <c r="R725" s="67" t="s">
        <v>151</v>
      </c>
      <c r="S725" s="67" t="s">
        <v>1186</v>
      </c>
      <c r="T725" s="77" t="str">
        <f t="shared" ref="T725:T788" si="46">IF(G725=$J$1,"SI","NO")</f>
        <v>NO</v>
      </c>
      <c r="U725" s="77"/>
      <c r="V725" s="67"/>
      <c r="W725" s="67" t="s">
        <v>3405</v>
      </c>
      <c r="X725" s="67" t="s">
        <v>3406</v>
      </c>
      <c r="Y725" s="67"/>
      <c r="Z725" s="341" t="s">
        <v>770</v>
      </c>
      <c r="AA725" s="123" t="s">
        <v>2849</v>
      </c>
      <c r="AB725" s="77" t="s">
        <v>3361</v>
      </c>
      <c r="AC725" s="361"/>
    </row>
    <row r="726" spans="1:29" ht="39.950000000000003" customHeight="1">
      <c r="A726" s="67">
        <v>734</v>
      </c>
      <c r="B726" s="69">
        <v>45197</v>
      </c>
      <c r="C726" s="67" t="s">
        <v>1371</v>
      </c>
      <c r="D726" s="67" t="s">
        <v>3089</v>
      </c>
      <c r="E726" s="68" t="s">
        <v>3090</v>
      </c>
      <c r="F726" s="67">
        <v>8</v>
      </c>
      <c r="G726" s="67" t="s">
        <v>43</v>
      </c>
      <c r="H726" s="69">
        <v>45211</v>
      </c>
      <c r="I726" s="69" t="s">
        <v>73</v>
      </c>
      <c r="J726" s="69" t="s">
        <v>1219</v>
      </c>
      <c r="K726" s="67">
        <f>IFERROR(VLOOKUP(J726,Jueces!$A$1:$B$11,2,FALSE),"")</f>
        <v>1</v>
      </c>
      <c r="L726" s="67" t="s">
        <v>811</v>
      </c>
      <c r="M726" s="67" t="s">
        <v>1087</v>
      </c>
      <c r="N726" s="67" t="s">
        <v>3408</v>
      </c>
      <c r="O726" s="67" t="str">
        <f t="shared" ca="1" si="45"/>
        <v>SI</v>
      </c>
      <c r="P726" s="67" t="str">
        <f t="shared" si="44"/>
        <v>DIANOSOL</v>
      </c>
      <c r="Q726" s="67" t="s">
        <v>905</v>
      </c>
      <c r="R726" s="67" t="str">
        <f>VLOOKUP($Q726,Resultados!$A$1:$B$49,2,FALSE)</f>
        <v>Juicio Abreviado</v>
      </c>
      <c r="S726" s="67" t="s">
        <v>1209</v>
      </c>
      <c r="T726" s="77" t="str">
        <f t="shared" si="46"/>
        <v>NO</v>
      </c>
      <c r="U726" s="77"/>
      <c r="V726" s="67"/>
      <c r="W726" s="67" t="s">
        <v>2564</v>
      </c>
      <c r="X726" s="67" t="s">
        <v>3409</v>
      </c>
      <c r="Y726" s="67"/>
      <c r="Z726" s="341" t="s">
        <v>3359</v>
      </c>
      <c r="AA726" s="123" t="s">
        <v>1168</v>
      </c>
      <c r="AB726" s="123" t="s">
        <v>1172</v>
      </c>
      <c r="AC726" s="361"/>
    </row>
    <row r="727" spans="1:29" ht="39.950000000000003" customHeight="1">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3397</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2981</v>
      </c>
      <c r="Y727" s="67"/>
      <c r="Z727" s="341" t="s">
        <v>2892</v>
      </c>
      <c r="AA727" s="123" t="s">
        <v>2849</v>
      </c>
      <c r="AB727" s="123" t="s">
        <v>3297</v>
      </c>
      <c r="AC727" s="361"/>
    </row>
    <row r="728" spans="1:29" ht="39.950000000000003" customHeight="1">
      <c r="A728" s="67">
        <v>752</v>
      </c>
      <c r="B728" s="69">
        <v>45202</v>
      </c>
      <c r="C728" s="74">
        <v>0.47500000000000003</v>
      </c>
      <c r="D728" s="67" t="s">
        <v>3166</v>
      </c>
      <c r="E728" s="68" t="s">
        <v>3167</v>
      </c>
      <c r="F728" s="67">
        <v>1</v>
      </c>
      <c r="G728" s="67" t="s">
        <v>2785</v>
      </c>
      <c r="H728" s="69">
        <v>45211</v>
      </c>
      <c r="I728" s="69" t="s">
        <v>73</v>
      </c>
      <c r="J728" s="69" t="s">
        <v>1730</v>
      </c>
      <c r="K728" s="67" t="s">
        <v>1924</v>
      </c>
      <c r="L728" s="67" t="s">
        <v>801</v>
      </c>
      <c r="M728" s="67" t="s">
        <v>711</v>
      </c>
      <c r="N728" s="67" t="s">
        <v>3398</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2568</v>
      </c>
      <c r="Y728" s="67"/>
      <c r="Z728" s="341" t="s">
        <v>2864</v>
      </c>
      <c r="AA728" s="341" t="s">
        <v>1170</v>
      </c>
      <c r="AB728" s="123" t="s">
        <v>1174</v>
      </c>
      <c r="AC728" s="361"/>
    </row>
    <row r="729" spans="1:29" ht="39.950000000000003" customHeight="1">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3399</v>
      </c>
      <c r="O729" s="67" t="str">
        <f t="shared" ca="1" si="45"/>
        <v>SI</v>
      </c>
      <c r="P729" s="67" t="str">
        <f t="shared" si="44"/>
        <v>DIANOSOL</v>
      </c>
      <c r="Q729" s="67" t="s">
        <v>904</v>
      </c>
      <c r="R729" s="67" t="str">
        <f>VLOOKUP($Q729,Resultados!$A$1:$B$49,2,FALSE)</f>
        <v>Juicio Abreviado</v>
      </c>
      <c r="S729" s="67" t="s">
        <v>3400</v>
      </c>
      <c r="T729" s="77" t="str">
        <f t="shared" si="46"/>
        <v>SI</v>
      </c>
      <c r="U729" s="77"/>
      <c r="V729" s="67"/>
      <c r="W729" s="67" t="s">
        <v>1132</v>
      </c>
      <c r="X729" s="67" t="s">
        <v>2153</v>
      </c>
      <c r="Y729" s="67"/>
      <c r="Z729" s="341" t="s">
        <v>2864</v>
      </c>
      <c r="AA729" s="123" t="s">
        <v>1170</v>
      </c>
      <c r="AB729" s="123" t="s">
        <v>3361</v>
      </c>
      <c r="AC729" s="361"/>
    </row>
    <row r="730" spans="1:29" ht="39.950000000000003" customHeight="1">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3401</v>
      </c>
      <c r="O730" s="67" t="str">
        <f t="shared" ca="1" si="45"/>
        <v>SI</v>
      </c>
      <c r="P730" s="67" t="str">
        <f t="shared" si="44"/>
        <v>DIANOSOL</v>
      </c>
      <c r="Q730" s="67" t="s">
        <v>904</v>
      </c>
      <c r="R730" s="67" t="str">
        <f>VLOOKUP($Q730,Resultados!$A$1:$B$49,2,FALSE)</f>
        <v>Juicio Abreviado</v>
      </c>
      <c r="S730" s="67" t="s">
        <v>1036</v>
      </c>
      <c r="T730" s="77" t="str">
        <f t="shared" si="46"/>
        <v>NO</v>
      </c>
      <c r="U730" s="77"/>
      <c r="V730" s="67"/>
      <c r="W730" s="67" t="s">
        <v>3402</v>
      </c>
      <c r="X730" s="67" t="s">
        <v>3193</v>
      </c>
      <c r="Y730" s="67"/>
      <c r="Z730" s="341" t="s">
        <v>2892</v>
      </c>
      <c r="AA730" s="123" t="s">
        <v>2849</v>
      </c>
      <c r="AB730" s="123" t="s">
        <v>1172</v>
      </c>
      <c r="AC730" s="361"/>
    </row>
    <row r="731" spans="1:29" ht="39.950000000000003" customHeight="1">
      <c r="A731" s="67">
        <v>720</v>
      </c>
      <c r="B731" s="69">
        <v>45197</v>
      </c>
      <c r="C731" s="67" t="s">
        <v>1449</v>
      </c>
      <c r="D731" s="67" t="s">
        <v>3040</v>
      </c>
      <c r="E731" s="68" t="s">
        <v>3107</v>
      </c>
      <c r="F731" s="67">
        <v>1</v>
      </c>
      <c r="G731" s="67" t="s">
        <v>2772</v>
      </c>
      <c r="H731" s="69">
        <v>45211</v>
      </c>
      <c r="I731" s="69" t="s">
        <v>2019</v>
      </c>
      <c r="J731" s="69" t="s">
        <v>33</v>
      </c>
      <c r="K731" s="67" t="s">
        <v>1924</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2515</v>
      </c>
      <c r="X731" s="67" t="s">
        <v>3403</v>
      </c>
      <c r="Y731" s="67"/>
      <c r="Z731" s="341" t="s">
        <v>3360</v>
      </c>
      <c r="AA731" s="123" t="s">
        <v>1168</v>
      </c>
      <c r="AB731" s="123" t="s">
        <v>1174</v>
      </c>
      <c r="AC731" s="361"/>
    </row>
    <row r="732" spans="1:29" ht="39.950000000000003" customHeight="1">
      <c r="A732" s="67">
        <v>731</v>
      </c>
      <c r="B732" s="69">
        <v>45198</v>
      </c>
      <c r="C732" s="67" t="s">
        <v>547</v>
      </c>
      <c r="D732" s="67" t="s">
        <v>3085</v>
      </c>
      <c r="E732" s="68" t="s">
        <v>3117</v>
      </c>
      <c r="F732" s="67">
        <v>1</v>
      </c>
      <c r="G732" s="67" t="s">
        <v>2770</v>
      </c>
      <c r="H732" s="69">
        <v>45216</v>
      </c>
      <c r="I732" s="69" t="s">
        <v>73</v>
      </c>
      <c r="J732" s="69" t="s">
        <v>1220</v>
      </c>
      <c r="K732" s="67" t="s">
        <v>2340</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2981</v>
      </c>
      <c r="Y732" s="67"/>
      <c r="Z732" s="341" t="s">
        <v>3410</v>
      </c>
      <c r="AA732" s="341" t="s">
        <v>1170</v>
      </c>
      <c r="AB732" s="341" t="s">
        <v>3361</v>
      </c>
      <c r="AC732" s="361"/>
    </row>
    <row r="733" spans="1:29" ht="39.950000000000003" customHeight="1">
      <c r="A733" s="67">
        <v>747</v>
      </c>
      <c r="B733" s="69">
        <v>45202</v>
      </c>
      <c r="C733" s="67" t="s">
        <v>1781</v>
      </c>
      <c r="D733" s="67" t="s">
        <v>3151</v>
      </c>
      <c r="E733" s="68" t="s">
        <v>3206</v>
      </c>
      <c r="F733" s="67">
        <v>1</v>
      </c>
      <c r="G733" s="67" t="s">
        <v>1442</v>
      </c>
      <c r="H733" s="69">
        <v>45216</v>
      </c>
      <c r="I733" s="69" t="s">
        <v>73</v>
      </c>
      <c r="J733" s="69" t="s">
        <v>2951</v>
      </c>
      <c r="K733" s="67" t="s">
        <v>1345</v>
      </c>
      <c r="L733" s="67" t="s">
        <v>793</v>
      </c>
      <c r="M733" s="67" t="s">
        <v>1087</v>
      </c>
      <c r="N733" s="67" t="s">
        <v>2979</v>
      </c>
      <c r="O733" s="67" t="str">
        <f t="shared" ca="1" si="45"/>
        <v>SI</v>
      </c>
      <c r="P733" s="67" t="str">
        <f t="shared" si="44"/>
        <v>DIANOSOL</v>
      </c>
      <c r="Q733" s="67" t="s">
        <v>905</v>
      </c>
      <c r="R733" s="67" t="str">
        <f>VLOOKUP($Q733,Resultados!$A$1:$B$49,2,FALSE)</f>
        <v>Juicio Abreviado</v>
      </c>
      <c r="S733" s="67" t="s">
        <v>1648</v>
      </c>
      <c r="T733" s="77" t="str">
        <f t="shared" si="46"/>
        <v>NO</v>
      </c>
      <c r="U733" s="77"/>
      <c r="V733" s="67"/>
      <c r="W733" s="67" t="s">
        <v>1084</v>
      </c>
      <c r="X733" s="67" t="s">
        <v>3431</v>
      </c>
      <c r="Y733" s="67"/>
      <c r="Z733" s="341" t="s">
        <v>748</v>
      </c>
      <c r="AA733" s="341" t="s">
        <v>1170</v>
      </c>
      <c r="AB733" s="341" t="s">
        <v>1176</v>
      </c>
      <c r="AC733" s="361"/>
    </row>
    <row r="734" spans="1:29" ht="39.950000000000003" customHeight="1">
      <c r="A734" s="67">
        <v>750</v>
      </c>
      <c r="B734" s="69">
        <v>45202</v>
      </c>
      <c r="C734" s="74">
        <v>0.45208333333333334</v>
      </c>
      <c r="D734" s="67" t="s">
        <v>3164</v>
      </c>
      <c r="E734" s="68" t="s">
        <v>3203</v>
      </c>
      <c r="F734" s="67">
        <v>2</v>
      </c>
      <c r="G734" s="67" t="s">
        <v>2771</v>
      </c>
      <c r="H734" s="69">
        <v>45216</v>
      </c>
      <c r="I734" s="69" t="s">
        <v>73</v>
      </c>
      <c r="J734" s="69" t="s">
        <v>2948</v>
      </c>
      <c r="K734" s="67" t="s">
        <v>1924</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3132</v>
      </c>
      <c r="X734" s="67"/>
      <c r="Y734" s="67"/>
      <c r="Z734" s="341" t="s">
        <v>2864</v>
      </c>
      <c r="AA734" s="341" t="s">
        <v>1168</v>
      </c>
      <c r="AB734" s="341" t="s">
        <v>1173</v>
      </c>
      <c r="AC734" s="361"/>
    </row>
    <row r="735" spans="1:29" ht="39.950000000000003" customHeight="1">
      <c r="A735" s="67">
        <v>744</v>
      </c>
      <c r="B735" s="69">
        <v>45201</v>
      </c>
      <c r="C735" s="67" t="s">
        <v>2758</v>
      </c>
      <c r="D735" s="67" t="s">
        <v>3144</v>
      </c>
      <c r="E735" s="68" t="s">
        <v>3145</v>
      </c>
      <c r="F735" s="67">
        <v>1</v>
      </c>
      <c r="G735" s="67" t="s">
        <v>1440</v>
      </c>
      <c r="H735" s="69">
        <v>45216</v>
      </c>
      <c r="I735" s="69" t="s">
        <v>749</v>
      </c>
      <c r="J735" s="69" t="s">
        <v>1224</v>
      </c>
      <c r="K735" s="67" t="s">
        <v>2391</v>
      </c>
      <c r="L735" s="67" t="s">
        <v>812</v>
      </c>
      <c r="M735" s="67" t="s">
        <v>712</v>
      </c>
      <c r="N735" s="67" t="s">
        <v>3429</v>
      </c>
      <c r="O735" s="67" t="str">
        <f t="shared" ca="1" si="45"/>
        <v>SI</v>
      </c>
      <c r="P735" s="67" t="str">
        <f t="shared" si="44"/>
        <v>DIANOSOL</v>
      </c>
      <c r="Q735" s="67" t="s">
        <v>151</v>
      </c>
      <c r="R735" s="67" t="str">
        <f>VLOOKUP($Q735,Resultados!$A$1:$B$49,2,FALSE)</f>
        <v>Prisión Preventiva</v>
      </c>
      <c r="S735" s="67" t="s">
        <v>1086</v>
      </c>
      <c r="T735" s="77" t="str">
        <f t="shared" si="46"/>
        <v>SI</v>
      </c>
      <c r="U735" s="77"/>
      <c r="V735" s="67"/>
      <c r="W735" s="67" t="s">
        <v>1391</v>
      </c>
      <c r="X735" s="67" t="s">
        <v>3430</v>
      </c>
      <c r="Y735" s="67"/>
      <c r="Z735" s="341" t="s">
        <v>2892</v>
      </c>
      <c r="AA735" s="341" t="s">
        <v>1168</v>
      </c>
      <c r="AB735" s="341" t="s">
        <v>1172</v>
      </c>
      <c r="AC735" s="361"/>
    </row>
    <row r="736" spans="1:29" ht="39.950000000000003" customHeight="1">
      <c r="A736" s="67">
        <v>725</v>
      </c>
      <c r="B736" s="69">
        <v>45197</v>
      </c>
      <c r="C736" s="74">
        <v>0.42222222222222222</v>
      </c>
      <c r="D736" s="67" t="s">
        <v>3073</v>
      </c>
      <c r="E736" s="68" t="s">
        <v>3432</v>
      </c>
      <c r="F736" s="67">
        <v>1</v>
      </c>
      <c r="G736" s="67" t="s">
        <v>2835</v>
      </c>
      <c r="H736" s="69">
        <v>45216</v>
      </c>
      <c r="I736" s="69" t="s">
        <v>1086</v>
      </c>
      <c r="J736" s="69" t="s">
        <v>1220</v>
      </c>
      <c r="K736" s="67" t="s">
        <v>2340</v>
      </c>
      <c r="L736" s="67" t="s">
        <v>813</v>
      </c>
      <c r="M736" s="67" t="s">
        <v>711</v>
      </c>
      <c r="N736" s="67" t="s">
        <v>3433</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2682</v>
      </c>
      <c r="X736" s="67" t="s">
        <v>2945</v>
      </c>
      <c r="Y736" s="67"/>
      <c r="Z736" s="341" t="s">
        <v>3410</v>
      </c>
      <c r="AA736" s="341" t="s">
        <v>2849</v>
      </c>
      <c r="AB736" s="341" t="s">
        <v>3297</v>
      </c>
      <c r="AC736" s="361"/>
    </row>
    <row r="737" spans="1:29" ht="39.950000000000003" customHeight="1">
      <c r="A737" s="67">
        <v>743</v>
      </c>
      <c r="B737" s="69">
        <v>45202</v>
      </c>
      <c r="C737" s="67" t="s">
        <v>73</v>
      </c>
      <c r="D737" s="67" t="s">
        <v>3142</v>
      </c>
      <c r="E737" s="68" t="s">
        <v>3143</v>
      </c>
      <c r="F737" s="67">
        <v>1</v>
      </c>
      <c r="G737" s="67" t="s">
        <v>29</v>
      </c>
      <c r="H737" s="69">
        <v>45216</v>
      </c>
      <c r="I737" s="69" t="s">
        <v>1086</v>
      </c>
      <c r="J737" s="69" t="s">
        <v>1219</v>
      </c>
      <c r="K737" s="67" t="s">
        <v>1924</v>
      </c>
      <c r="L737" s="67" t="s">
        <v>793</v>
      </c>
      <c r="M737" s="67" t="s">
        <v>712</v>
      </c>
      <c r="N737" s="67" t="s">
        <v>3434</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3149</v>
      </c>
      <c r="X737" s="67" t="s">
        <v>3435</v>
      </c>
      <c r="Y737" s="67"/>
      <c r="Z737" s="341" t="s">
        <v>2864</v>
      </c>
      <c r="AA737" s="341" t="s">
        <v>1170</v>
      </c>
      <c r="AB737" s="341" t="s">
        <v>1174</v>
      </c>
      <c r="AC737" s="361"/>
    </row>
    <row r="738" spans="1:29" ht="39.950000000000003" customHeight="1">
      <c r="A738" s="67">
        <v>765</v>
      </c>
      <c r="B738" s="69">
        <v>45205</v>
      </c>
      <c r="C738" s="74">
        <v>0.48333333333333334</v>
      </c>
      <c r="D738" s="67" t="s">
        <v>3230</v>
      </c>
      <c r="E738" s="68" t="s">
        <v>3246</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NO</v>
      </c>
      <c r="U738" s="77"/>
      <c r="V738" s="67"/>
      <c r="W738" s="67" t="s">
        <v>3209</v>
      </c>
      <c r="X738" s="67" t="s">
        <v>2568</v>
      </c>
      <c r="Y738" s="67"/>
      <c r="Z738" s="341" t="s">
        <v>770</v>
      </c>
      <c r="AA738" s="341" t="s">
        <v>2849</v>
      </c>
      <c r="AB738" s="341" t="s">
        <v>3361</v>
      </c>
      <c r="AC738" s="361"/>
    </row>
    <row r="739" spans="1:29" ht="39.950000000000003" customHeight="1">
      <c r="A739" s="67">
        <v>773</v>
      </c>
      <c r="B739" s="69">
        <v>45208</v>
      </c>
      <c r="C739" s="67" t="s">
        <v>3262</v>
      </c>
      <c r="D739" s="67" t="s">
        <v>3263</v>
      </c>
      <c r="E739" s="68" t="s">
        <v>3327</v>
      </c>
      <c r="F739" s="67">
        <v>8</v>
      </c>
      <c r="G739" s="67" t="s">
        <v>1442</v>
      </c>
      <c r="H739" s="69">
        <v>45216</v>
      </c>
      <c r="I739" s="69" t="s">
        <v>77</v>
      </c>
      <c r="J739" s="69" t="s">
        <v>1220</v>
      </c>
      <c r="K739" s="67" t="s">
        <v>1519</v>
      </c>
      <c r="L739" s="67" t="s">
        <v>790</v>
      </c>
      <c r="M739" s="67" t="s">
        <v>1415</v>
      </c>
      <c r="N739" s="67" t="s">
        <v>3436</v>
      </c>
      <c r="O739" s="67" t="str">
        <f t="shared" ca="1" si="45"/>
        <v>SI</v>
      </c>
      <c r="P739" s="67" t="str">
        <f t="shared" si="44"/>
        <v>DIANOSOL</v>
      </c>
      <c r="Q739" s="67" t="s">
        <v>905</v>
      </c>
      <c r="R739" s="67" t="str">
        <f>VLOOKUP($Q739,Resultados!$A$1:$B$49,2,FALSE)</f>
        <v>Juicio Abreviado</v>
      </c>
      <c r="S739" s="67" t="s">
        <v>3437</v>
      </c>
      <c r="T739" s="77" t="str">
        <f t="shared" si="46"/>
        <v>NO</v>
      </c>
      <c r="U739" s="77"/>
      <c r="V739" s="67"/>
      <c r="W739" s="67" t="s">
        <v>1206</v>
      </c>
      <c r="X739" s="67" t="s">
        <v>2568</v>
      </c>
      <c r="Y739" s="67"/>
      <c r="Z739" s="341" t="s">
        <v>770</v>
      </c>
      <c r="AA739" s="123" t="s">
        <v>3344</v>
      </c>
      <c r="AB739" s="123" t="s">
        <v>1176</v>
      </c>
      <c r="AC739" s="361"/>
    </row>
    <row r="740" spans="1:29" ht="39.950000000000003" customHeight="1">
      <c r="A740" s="67">
        <v>741</v>
      </c>
      <c r="B740" s="69">
        <v>45201</v>
      </c>
      <c r="C740" s="74">
        <v>0.49374999999999997</v>
      </c>
      <c r="D740" s="67" t="s">
        <v>3116</v>
      </c>
      <c r="E740" s="68" t="s">
        <v>3202</v>
      </c>
      <c r="F740" s="67">
        <v>1</v>
      </c>
      <c r="G740" s="67" t="s">
        <v>1440</v>
      </c>
      <c r="H740" s="69">
        <v>45217</v>
      </c>
      <c r="I740" s="69" t="s">
        <v>73</v>
      </c>
      <c r="J740" s="69" t="s">
        <v>2951</v>
      </c>
      <c r="K740" s="67" t="s">
        <v>1519</v>
      </c>
      <c r="L740" s="67" t="s">
        <v>809</v>
      </c>
      <c r="M740" s="67" t="s">
        <v>1178</v>
      </c>
      <c r="N740" s="67" t="s">
        <v>3475</v>
      </c>
      <c r="O740" s="67" t="str">
        <f t="shared" ca="1" si="45"/>
        <v>SI</v>
      </c>
      <c r="P740" s="67" t="str">
        <f t="shared" si="44"/>
        <v>DIANOSOL</v>
      </c>
      <c r="Q740" s="67" t="s">
        <v>904</v>
      </c>
      <c r="R740" s="67" t="str">
        <f>VLOOKUP($Q740,Resultados!$A$1:$B$49,2,FALSE)</f>
        <v>Juicio Abreviado</v>
      </c>
      <c r="S740" s="67" t="s">
        <v>1064</v>
      </c>
      <c r="T740" s="77" t="str">
        <f t="shared" si="46"/>
        <v>SI</v>
      </c>
      <c r="U740" s="77"/>
      <c r="V740" s="67"/>
      <c r="W740" s="67" t="s">
        <v>679</v>
      </c>
      <c r="X740" s="67" t="s">
        <v>3476</v>
      </c>
      <c r="Y740" s="67"/>
      <c r="Z740" s="364" t="s">
        <v>3410</v>
      </c>
      <c r="AA740" s="364" t="s">
        <v>1168</v>
      </c>
      <c r="AB740" s="364" t="s">
        <v>1173</v>
      </c>
      <c r="AC740" s="365"/>
    </row>
    <row r="741" spans="1:29" ht="39.950000000000003" customHeight="1">
      <c r="A741" s="67">
        <v>762</v>
      </c>
      <c r="B741" s="69">
        <v>45204</v>
      </c>
      <c r="C741" s="74">
        <v>0.36944444444444446</v>
      </c>
      <c r="D741" s="67" t="s">
        <v>2474</v>
      </c>
      <c r="E741" s="68" t="s">
        <v>3420</v>
      </c>
      <c r="F741" s="67">
        <v>7</v>
      </c>
      <c r="G741" s="67" t="s">
        <v>283</v>
      </c>
      <c r="H741" s="69">
        <v>45217</v>
      </c>
      <c r="I741" s="69" t="s">
        <v>73</v>
      </c>
      <c r="J741" s="69" t="s">
        <v>1220</v>
      </c>
      <c r="K741" s="67" t="s">
        <v>2340</v>
      </c>
      <c r="L741" s="67" t="s">
        <v>800</v>
      </c>
      <c r="M741" s="67" t="s">
        <v>725</v>
      </c>
      <c r="N741" s="67" t="s">
        <v>3478</v>
      </c>
      <c r="O741" s="67" t="str">
        <f t="shared" ca="1" si="45"/>
        <v>SI</v>
      </c>
      <c r="P741" s="67" t="str">
        <f t="shared" si="44"/>
        <v>DIANOSOL</v>
      </c>
      <c r="Q741" s="67" t="s">
        <v>904</v>
      </c>
      <c r="R741" s="67" t="s">
        <v>100</v>
      </c>
      <c r="S741" s="67" t="s">
        <v>1065</v>
      </c>
      <c r="T741" s="77" t="str">
        <f t="shared" si="46"/>
        <v>NO</v>
      </c>
      <c r="U741" s="77"/>
      <c r="V741" s="67"/>
      <c r="W741" s="67" t="s">
        <v>1129</v>
      </c>
      <c r="X741" s="67" t="s">
        <v>2568</v>
      </c>
      <c r="Y741" s="67"/>
      <c r="Z741" s="364" t="s">
        <v>2864</v>
      </c>
      <c r="AA741" s="364" t="s">
        <v>1170</v>
      </c>
      <c r="AB741" s="364" t="s">
        <v>1172</v>
      </c>
      <c r="AC741" s="365"/>
    </row>
    <row r="742" spans="1:29" ht="39.950000000000003" customHeight="1">
      <c r="A742" s="67">
        <v>769</v>
      </c>
      <c r="B742" s="69">
        <v>45196</v>
      </c>
      <c r="C742" s="74">
        <v>0.4861111111111111</v>
      </c>
      <c r="D742" s="67" t="s">
        <v>3188</v>
      </c>
      <c r="E742" s="68" t="s">
        <v>3189</v>
      </c>
      <c r="F742" s="67">
        <v>8</v>
      </c>
      <c r="G742" s="67" t="s">
        <v>1442</v>
      </c>
      <c r="H742" s="69">
        <v>45217</v>
      </c>
      <c r="I742" s="69" t="s">
        <v>73</v>
      </c>
      <c r="J742" s="69" t="s">
        <v>2948</v>
      </c>
      <c r="K742" s="67" t="s">
        <v>1924</v>
      </c>
      <c r="L742" s="67" t="s">
        <v>2088</v>
      </c>
      <c r="M742" s="67" t="s">
        <v>1087</v>
      </c>
      <c r="N742" s="67" t="s">
        <v>2566</v>
      </c>
      <c r="O742" s="67" t="str">
        <f t="shared" ca="1" si="45"/>
        <v>SI</v>
      </c>
      <c r="P742" s="67" t="str">
        <f t="shared" si="44"/>
        <v>DIANOSOL</v>
      </c>
      <c r="Q742" s="67" t="s">
        <v>899</v>
      </c>
      <c r="R742" s="67" t="s">
        <v>902</v>
      </c>
      <c r="S742" s="67" t="s">
        <v>2418</v>
      </c>
      <c r="T742" s="77" t="str">
        <f t="shared" si="46"/>
        <v>NO</v>
      </c>
      <c r="U742" s="77"/>
      <c r="V742" s="67"/>
      <c r="W742" s="67" t="s">
        <v>1565</v>
      </c>
      <c r="X742" s="67" t="s">
        <v>3477</v>
      </c>
      <c r="Y742" s="67"/>
      <c r="Z742" s="364" t="s">
        <v>2892</v>
      </c>
      <c r="AA742" s="364" t="s">
        <v>2849</v>
      </c>
      <c r="AB742" s="364" t="s">
        <v>3297</v>
      </c>
      <c r="AC742" s="365"/>
    </row>
    <row r="743" spans="1:29" ht="39.950000000000003" customHeight="1">
      <c r="A743" s="67">
        <v>738</v>
      </c>
      <c r="B743" s="69">
        <v>45201</v>
      </c>
      <c r="C743" s="74">
        <v>0.3972222222222222</v>
      </c>
      <c r="D743" s="67" t="s">
        <v>2109</v>
      </c>
      <c r="E743" s="68" t="s">
        <v>3113</v>
      </c>
      <c r="F743" s="67">
        <v>1</v>
      </c>
      <c r="G743" s="67" t="s">
        <v>568</v>
      </c>
      <c r="H743" s="69">
        <v>45217</v>
      </c>
      <c r="I743" s="69" t="s">
        <v>1086</v>
      </c>
      <c r="J743" s="69" t="s">
        <v>1219</v>
      </c>
      <c r="K743" s="67">
        <f>IFERROR(VLOOKUP(J743,Jueces!$A$1:$B$11,2,FALSE),"")</f>
        <v>1</v>
      </c>
      <c r="L743" s="67" t="s">
        <v>192</v>
      </c>
      <c r="M743" s="67" t="s">
        <v>712</v>
      </c>
      <c r="N743" s="67" t="s">
        <v>3479</v>
      </c>
      <c r="O743" s="83" t="str">
        <f t="shared" ca="1" si="45"/>
        <v>SI</v>
      </c>
      <c r="P743" s="83" t="str">
        <f t="shared" si="44"/>
        <v>DIANOSOL</v>
      </c>
      <c r="Q743" s="67" t="s">
        <v>151</v>
      </c>
      <c r="R743" s="67" t="s">
        <v>151</v>
      </c>
      <c r="S743" s="67" t="s">
        <v>2707</v>
      </c>
      <c r="T743" s="86" t="str">
        <f t="shared" si="46"/>
        <v>NO</v>
      </c>
      <c r="U743" s="86"/>
      <c r="V743" s="83"/>
      <c r="W743" s="67" t="s">
        <v>1005</v>
      </c>
      <c r="X743" s="67" t="s">
        <v>3079</v>
      </c>
      <c r="Y743" s="67"/>
      <c r="Z743" s="364" t="s">
        <v>748</v>
      </c>
      <c r="AA743" s="364" t="s">
        <v>1168</v>
      </c>
      <c r="AB743" s="364" t="s">
        <v>1174</v>
      </c>
      <c r="AC743" s="365"/>
    </row>
    <row r="744" spans="1:29" ht="39.950000000000003" customHeight="1">
      <c r="A744" s="67">
        <v>764</v>
      </c>
      <c r="B744" s="69">
        <v>45204</v>
      </c>
      <c r="C744" s="74">
        <v>0.51666666666666672</v>
      </c>
      <c r="D744" s="67" t="s">
        <v>3227</v>
      </c>
      <c r="E744" s="68" t="s">
        <v>3228</v>
      </c>
      <c r="F744" s="67">
        <v>2</v>
      </c>
      <c r="G744" s="67" t="s">
        <v>2771</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4" t="s">
        <v>770</v>
      </c>
      <c r="AA744" s="364" t="s">
        <v>1170</v>
      </c>
      <c r="AB744" s="364" t="s">
        <v>3361</v>
      </c>
      <c r="AC744" s="365"/>
    </row>
    <row r="745" spans="1:29" ht="39.950000000000003" customHeight="1">
      <c r="A745" s="67">
        <v>757</v>
      </c>
      <c r="B745" s="69">
        <v>45202</v>
      </c>
      <c r="C745" s="74">
        <v>0.55694444444444446</v>
      </c>
      <c r="D745" s="67" t="s">
        <v>3173</v>
      </c>
      <c r="E745" s="68" t="s">
        <v>3205</v>
      </c>
      <c r="F745" s="67">
        <v>1</v>
      </c>
      <c r="G745" s="67" t="s">
        <v>2770</v>
      </c>
      <c r="H745" s="69">
        <v>45217</v>
      </c>
      <c r="I745" s="69" t="s">
        <v>3209</v>
      </c>
      <c r="J745" s="69" t="s">
        <v>31</v>
      </c>
      <c r="K745" s="67">
        <f>IFERROR(VLOOKUP(J745,Jueces!$A$1:$B$11,2,FALSE),"")</f>
        <v>2</v>
      </c>
      <c r="L745" s="67" t="s">
        <v>806</v>
      </c>
      <c r="M745" s="67" t="s">
        <v>712</v>
      </c>
      <c r="N745" s="67" t="s">
        <v>3480</v>
      </c>
      <c r="O745" s="83" t="str">
        <f t="shared" ca="1" si="45"/>
        <v>SI</v>
      </c>
      <c r="P745" s="83" t="str">
        <f t="shared" si="44"/>
        <v>DIANOSOL</v>
      </c>
      <c r="Q745" s="67" t="s">
        <v>904</v>
      </c>
      <c r="R745" s="67" t="str">
        <f>VLOOKUP($Q745,Resultados!$A$1:$B$49,2,FALSE)</f>
        <v>Juicio Abreviado</v>
      </c>
      <c r="S745" s="67" t="s">
        <v>3481</v>
      </c>
      <c r="T745" s="86" t="str">
        <f t="shared" si="46"/>
        <v>NO</v>
      </c>
      <c r="U745" s="86"/>
      <c r="V745" s="83"/>
      <c r="W745" s="67" t="s">
        <v>3482</v>
      </c>
      <c r="X745" s="67" t="s">
        <v>3483</v>
      </c>
      <c r="Y745" s="67"/>
      <c r="Z745" s="364" t="s">
        <v>3410</v>
      </c>
      <c r="AA745" s="364" t="s">
        <v>2849</v>
      </c>
      <c r="AB745" s="364" t="s">
        <v>1176</v>
      </c>
      <c r="AC745" s="365"/>
    </row>
    <row r="746" spans="1:29" ht="39.950000000000003" customHeight="1">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3486</v>
      </c>
      <c r="O746" s="83" t="str">
        <f t="shared" ca="1" si="45"/>
        <v>SI</v>
      </c>
      <c r="P746" s="83" t="str">
        <f t="shared" si="44"/>
        <v>DIANOSOL</v>
      </c>
      <c r="Q746" s="67" t="s">
        <v>151</v>
      </c>
      <c r="R746" s="67" t="s">
        <v>151</v>
      </c>
      <c r="S746" s="67" t="s">
        <v>3484</v>
      </c>
      <c r="T746" s="86" t="str">
        <f t="shared" si="46"/>
        <v>NO</v>
      </c>
      <c r="U746" s="86"/>
      <c r="V746" s="83"/>
      <c r="W746" s="67" t="s">
        <v>3485</v>
      </c>
      <c r="X746" s="67"/>
      <c r="Y746" s="67"/>
      <c r="Z746" s="364" t="s">
        <v>2864</v>
      </c>
      <c r="AA746" s="364" t="s">
        <v>1170</v>
      </c>
      <c r="AB746" s="364" t="s">
        <v>1173</v>
      </c>
      <c r="AC746" s="365"/>
    </row>
    <row r="747" spans="1:29" ht="39.950000000000003" customHeight="1">
      <c r="A747" s="67">
        <v>740</v>
      </c>
      <c r="B747" s="69">
        <v>45201</v>
      </c>
      <c r="C747" s="74">
        <v>0.4916666666666667</v>
      </c>
      <c r="D747" s="67" t="s">
        <v>3115</v>
      </c>
      <c r="E747" s="68" t="s">
        <v>3211</v>
      </c>
      <c r="F747" s="67">
        <v>1</v>
      </c>
      <c r="G747" s="67" t="s">
        <v>2772</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3477</v>
      </c>
      <c r="Y747" s="67"/>
      <c r="Z747" s="123" t="s">
        <v>3473</v>
      </c>
      <c r="AA747" s="341" t="s">
        <v>1168</v>
      </c>
      <c r="AB747" s="123" t="s">
        <v>1172</v>
      </c>
      <c r="AC747" s="365"/>
    </row>
    <row r="748" spans="1:29" ht="39.950000000000003" customHeight="1">
      <c r="A748" s="67">
        <v>746</v>
      </c>
      <c r="B748" s="69">
        <v>45202</v>
      </c>
      <c r="C748" s="67" t="s">
        <v>3149</v>
      </c>
      <c r="D748" s="67" t="s">
        <v>3150</v>
      </c>
      <c r="E748" s="68" t="s">
        <v>3213</v>
      </c>
      <c r="F748" s="67">
        <v>1</v>
      </c>
      <c r="G748" s="67" t="s">
        <v>1440</v>
      </c>
      <c r="H748" s="69">
        <v>45218</v>
      </c>
      <c r="I748" s="69" t="s">
        <v>73</v>
      </c>
      <c r="J748" s="69" t="s">
        <v>1730</v>
      </c>
      <c r="K748" s="67" t="s">
        <v>1924</v>
      </c>
      <c r="L748" s="67" t="s">
        <v>789</v>
      </c>
      <c r="M748" s="67" t="s">
        <v>1178</v>
      </c>
      <c r="N748" s="67" t="s">
        <v>3503</v>
      </c>
      <c r="O748" s="67" t="str">
        <f t="shared" ca="1" si="45"/>
        <v>SI</v>
      </c>
      <c r="P748" s="67" t="str">
        <f t="shared" si="44"/>
        <v>DIANOSOL</v>
      </c>
      <c r="Q748" s="67" t="s">
        <v>151</v>
      </c>
      <c r="R748" s="67" t="s">
        <v>151</v>
      </c>
      <c r="S748" s="67" t="s">
        <v>1295</v>
      </c>
      <c r="T748" s="77" t="str">
        <f t="shared" si="46"/>
        <v>SI</v>
      </c>
      <c r="U748" s="77"/>
      <c r="V748" s="67"/>
      <c r="W748" s="67" t="s">
        <v>1498</v>
      </c>
      <c r="X748" s="67" t="s">
        <v>3504</v>
      </c>
      <c r="Y748" s="67"/>
      <c r="Z748" s="123" t="s">
        <v>1041</v>
      </c>
      <c r="AA748" s="341" t="s">
        <v>1170</v>
      </c>
      <c r="AB748" s="123" t="s">
        <v>3297</v>
      </c>
      <c r="AC748" s="365"/>
    </row>
    <row r="749" spans="1:29" ht="39.950000000000003" customHeight="1">
      <c r="A749" s="67">
        <v>778</v>
      </c>
      <c r="B749" s="69">
        <v>45205</v>
      </c>
      <c r="C749" s="67" t="s">
        <v>3278</v>
      </c>
      <c r="D749" s="67" t="s">
        <v>3279</v>
      </c>
      <c r="E749" s="68" t="s">
        <v>3453</v>
      </c>
      <c r="F749" s="67">
        <v>8</v>
      </c>
      <c r="G749" s="67" t="s">
        <v>29</v>
      </c>
      <c r="H749" s="69">
        <v>45218</v>
      </c>
      <c r="I749" s="69" t="s">
        <v>73</v>
      </c>
      <c r="J749" s="69" t="s">
        <v>2948</v>
      </c>
      <c r="K749" s="67" t="s">
        <v>2340</v>
      </c>
      <c r="L749" s="67" t="s">
        <v>789</v>
      </c>
      <c r="M749" s="67" t="s">
        <v>2119</v>
      </c>
      <c r="N749" s="67" t="s">
        <v>3190</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2681</v>
      </c>
      <c r="X749" s="67" t="s">
        <v>3507</v>
      </c>
      <c r="Y749" s="67"/>
      <c r="Z749" s="123" t="s">
        <v>748</v>
      </c>
      <c r="AA749" s="123" t="s">
        <v>3344</v>
      </c>
      <c r="AB749" s="123" t="s">
        <v>1174</v>
      </c>
      <c r="AC749" s="365"/>
    </row>
    <row r="750" spans="1:29" ht="39.950000000000003" customHeight="1">
      <c r="A750" s="67">
        <v>745</v>
      </c>
      <c r="B750" s="69">
        <v>45202</v>
      </c>
      <c r="C750" s="67" t="s">
        <v>3146</v>
      </c>
      <c r="D750" s="67" t="s">
        <v>3147</v>
      </c>
      <c r="E750" s="68" t="s">
        <v>3148</v>
      </c>
      <c r="F750" s="67">
        <v>1</v>
      </c>
      <c r="G750" s="67" t="s">
        <v>3362</v>
      </c>
      <c r="H750" s="69">
        <v>45218</v>
      </c>
      <c r="I750" s="69" t="s">
        <v>1086</v>
      </c>
      <c r="J750" s="69" t="s">
        <v>1224</v>
      </c>
      <c r="K750" s="67">
        <f>IFERROR(VLOOKUP(J750,Jueces!$A$1:$B$11,2,FALSE),"")</f>
        <v>6</v>
      </c>
      <c r="L750" s="67" t="s">
        <v>2086</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2892</v>
      </c>
      <c r="AA750" s="341" t="s">
        <v>1168</v>
      </c>
      <c r="AB750" s="123" t="s">
        <v>3361</v>
      </c>
      <c r="AC750" s="365"/>
    </row>
    <row r="751" spans="1:29" ht="39.950000000000003" customHeight="1">
      <c r="A751" s="67">
        <v>770</v>
      </c>
      <c r="B751" s="69">
        <v>45203</v>
      </c>
      <c r="C751" s="67" t="s">
        <v>3199</v>
      </c>
      <c r="D751" s="67" t="s">
        <v>3200</v>
      </c>
      <c r="E751" s="68" t="s">
        <v>3248</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NO</v>
      </c>
      <c r="U751" s="77"/>
      <c r="V751" s="67"/>
      <c r="W751" s="67" t="s">
        <v>1131</v>
      </c>
      <c r="X751" s="67" t="s">
        <v>3506</v>
      </c>
      <c r="Y751" s="67"/>
      <c r="Z751" s="123" t="s">
        <v>3410</v>
      </c>
      <c r="AA751" s="341" t="s">
        <v>2849</v>
      </c>
      <c r="AB751" s="123" t="s">
        <v>1176</v>
      </c>
      <c r="AC751" s="365"/>
    </row>
    <row r="752" spans="1:29" ht="39.950000000000003" customHeight="1">
      <c r="A752" s="67">
        <v>771</v>
      </c>
      <c r="B752" s="69">
        <v>45203</v>
      </c>
      <c r="C752" s="74">
        <v>0.4777777777777778</v>
      </c>
      <c r="D752" s="67" t="s">
        <v>3201</v>
      </c>
      <c r="E752" s="68" t="s">
        <v>3451</v>
      </c>
      <c r="F752" s="67">
        <v>8</v>
      </c>
      <c r="G752" s="67" t="s">
        <v>568</v>
      </c>
      <c r="H752" s="69">
        <v>45218</v>
      </c>
      <c r="I752" s="69" t="s">
        <v>1086</v>
      </c>
      <c r="J752" s="69" t="s">
        <v>1219</v>
      </c>
      <c r="K752" s="67" t="s">
        <v>2340</v>
      </c>
      <c r="L752" s="67" t="s">
        <v>791</v>
      </c>
      <c r="M752" s="67" t="s">
        <v>1031</v>
      </c>
      <c r="N752" s="67" t="s">
        <v>2196</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1744</v>
      </c>
      <c r="X752" s="67" t="s">
        <v>3505</v>
      </c>
      <c r="Y752" s="67"/>
      <c r="Z752" s="123" t="s">
        <v>748</v>
      </c>
      <c r="AA752" s="341" t="s">
        <v>1170</v>
      </c>
      <c r="AB752" s="123" t="s">
        <v>1173</v>
      </c>
      <c r="AC752" s="365"/>
    </row>
    <row r="753" spans="1:29" ht="39.950000000000003" customHeight="1">
      <c r="A753" s="67">
        <v>768</v>
      </c>
      <c r="B753" s="69">
        <v>45203</v>
      </c>
      <c r="C753" s="74">
        <v>0.33333333333333331</v>
      </c>
      <c r="D753" s="67" t="s">
        <v>3175</v>
      </c>
      <c r="E753" s="68" t="s">
        <v>3474</v>
      </c>
      <c r="F753" s="67">
        <v>2</v>
      </c>
      <c r="G753" s="67" t="s">
        <v>283</v>
      </c>
      <c r="H753" s="69">
        <v>45218</v>
      </c>
      <c r="I753" s="69" t="s">
        <v>1209</v>
      </c>
      <c r="J753" s="69" t="s">
        <v>31</v>
      </c>
      <c r="K753" s="67">
        <f>IFERROR(VLOOKUP(J753,Jueces!$A$1:$B$11,2,FALSE),"")</f>
        <v>2</v>
      </c>
      <c r="L753" s="67" t="s">
        <v>789</v>
      </c>
      <c r="M753" s="67" t="s">
        <v>692</v>
      </c>
      <c r="N753" s="67" t="s">
        <v>3508</v>
      </c>
      <c r="O753" s="67" t="str">
        <f t="shared" ca="1" si="45"/>
        <v>SI</v>
      </c>
      <c r="P753" s="67" t="str">
        <f t="shared" si="44"/>
        <v>DIANOSOL</v>
      </c>
      <c r="Q753" s="67" t="s">
        <v>904</v>
      </c>
      <c r="R753" s="67" t="str">
        <f>VLOOKUP($Q753,Resultados!$A$1:$B$49,2,FALSE)</f>
        <v>Juicio Abreviado</v>
      </c>
      <c r="S753" s="67" t="s">
        <v>1800</v>
      </c>
      <c r="T753" s="77" t="str">
        <f t="shared" si="46"/>
        <v>NO</v>
      </c>
      <c r="U753" s="77"/>
      <c r="V753" s="67"/>
      <c r="W753" s="67" t="s">
        <v>547</v>
      </c>
      <c r="X753" s="67" t="s">
        <v>3507</v>
      </c>
      <c r="Y753" s="67"/>
      <c r="Z753" s="123" t="s">
        <v>3410</v>
      </c>
      <c r="AA753" s="341" t="s">
        <v>2849</v>
      </c>
      <c r="AB753" s="123" t="s">
        <v>1172</v>
      </c>
      <c r="AC753" s="365"/>
    </row>
    <row r="754" spans="1:29" ht="39.950000000000003" customHeight="1">
      <c r="A754" s="67">
        <v>735</v>
      </c>
      <c r="B754" s="69">
        <v>45197</v>
      </c>
      <c r="C754" s="67" t="s">
        <v>2055</v>
      </c>
      <c r="D754" s="67" t="s">
        <v>3091</v>
      </c>
      <c r="E754" s="68" t="s">
        <v>3092</v>
      </c>
      <c r="F754" s="67">
        <v>8</v>
      </c>
      <c r="G754" s="67" t="s">
        <v>1440</v>
      </c>
      <c r="H754" s="69">
        <v>45218</v>
      </c>
      <c r="I754" s="69" t="s">
        <v>3209</v>
      </c>
      <c r="J754" s="69" t="s">
        <v>31</v>
      </c>
      <c r="K754" s="67">
        <f>IFERROR(VLOOKUP(J754,Jueces!$A$1:$B$11,2,FALSE),"")</f>
        <v>2</v>
      </c>
      <c r="L754" s="67" t="s">
        <v>809</v>
      </c>
      <c r="M754" s="67" t="s">
        <v>1415</v>
      </c>
      <c r="N754" s="67" t="s">
        <v>3509</v>
      </c>
      <c r="O754" s="67" t="str">
        <f t="shared" ca="1" si="45"/>
        <v>SI</v>
      </c>
      <c r="P754" s="67" t="str">
        <f t="shared" si="44"/>
        <v>DIANOSOL</v>
      </c>
      <c r="Q754" s="67" t="s">
        <v>899</v>
      </c>
      <c r="R754" s="67" t="str">
        <f>VLOOKUP($Q754,Resultados!$A$1:$B$49,2,FALSE)</f>
        <v>Libertad</v>
      </c>
      <c r="S754" s="67" t="s">
        <v>3510</v>
      </c>
      <c r="T754" s="77" t="str">
        <f t="shared" si="46"/>
        <v>SI</v>
      </c>
      <c r="U754" s="77"/>
      <c r="V754" s="67"/>
      <c r="W754" s="67" t="s">
        <v>3511</v>
      </c>
      <c r="X754" s="67" t="s">
        <v>3193</v>
      </c>
      <c r="Y754" s="67"/>
      <c r="Z754" s="123" t="s">
        <v>3410</v>
      </c>
      <c r="AA754" s="123" t="s">
        <v>1168</v>
      </c>
      <c r="AB754" s="123" t="s">
        <v>3297</v>
      </c>
      <c r="AC754" s="365"/>
    </row>
    <row r="755" spans="1:29" ht="39.950000000000003" customHeight="1">
      <c r="A755" s="67">
        <v>737</v>
      </c>
      <c r="B755" s="69">
        <v>45201</v>
      </c>
      <c r="C755" s="67" t="s">
        <v>1537</v>
      </c>
      <c r="D755" s="67" t="s">
        <v>3112</v>
      </c>
      <c r="E755" s="68" t="s">
        <v>3212</v>
      </c>
      <c r="F755" s="67">
        <v>1</v>
      </c>
      <c r="G755" s="67" t="s">
        <v>1441</v>
      </c>
      <c r="H755" s="69">
        <v>45219</v>
      </c>
      <c r="I755" s="69" t="s">
        <v>73</v>
      </c>
      <c r="J755" s="69" t="s">
        <v>2948</v>
      </c>
      <c r="K755" s="67" t="s">
        <v>1924</v>
      </c>
      <c r="L755" s="67" t="s">
        <v>806</v>
      </c>
      <c r="M755" s="67" t="s">
        <v>711</v>
      </c>
      <c r="N755" s="67" t="s">
        <v>913</v>
      </c>
      <c r="O755" s="83" t="str">
        <f t="shared" ca="1" si="45"/>
        <v>SI</v>
      </c>
      <c r="P755" s="83" t="str">
        <f t="shared" si="44"/>
        <v>DIANOSOL</v>
      </c>
      <c r="Q755" s="67" t="s">
        <v>913</v>
      </c>
      <c r="R755" s="67" t="str">
        <f>VLOOKUP($Q755,Resultados!$A$1:$B$49,2,FALSE)</f>
        <v>Prision domiciliaria</v>
      </c>
      <c r="S755" s="67" t="s">
        <v>2058</v>
      </c>
      <c r="T755" s="86" t="str">
        <f t="shared" si="46"/>
        <v>NO</v>
      </c>
      <c r="U755" s="86"/>
      <c r="V755" s="83"/>
      <c r="W755" s="67" t="s">
        <v>1209</v>
      </c>
      <c r="X755" s="67" t="s">
        <v>3526</v>
      </c>
      <c r="Y755" s="67"/>
      <c r="Z755" s="123" t="s">
        <v>2864</v>
      </c>
      <c r="AA755" s="341" t="s">
        <v>1168</v>
      </c>
      <c r="AB755" s="123" t="s">
        <v>1176</v>
      </c>
      <c r="AC755" s="365"/>
    </row>
    <row r="756" spans="1:29" ht="39.950000000000003" customHeight="1">
      <c r="A756" s="67">
        <v>755</v>
      </c>
      <c r="B756" s="69">
        <v>45202</v>
      </c>
      <c r="C756" s="74">
        <v>0.54513888888888895</v>
      </c>
      <c r="D756" s="67" t="s">
        <v>3171</v>
      </c>
      <c r="E756" s="68" t="s">
        <v>3210</v>
      </c>
      <c r="F756" s="67">
        <v>8</v>
      </c>
      <c r="G756" s="67" t="s">
        <v>3362</v>
      </c>
      <c r="H756" s="69">
        <v>45219</v>
      </c>
      <c r="I756" s="69" t="s">
        <v>73</v>
      </c>
      <c r="J756" s="69" t="s">
        <v>2951</v>
      </c>
      <c r="K756" s="67" t="s">
        <v>2340</v>
      </c>
      <c r="L756" s="67" t="s">
        <v>789</v>
      </c>
      <c r="M756" s="67" t="s">
        <v>1087</v>
      </c>
      <c r="N756" s="67" t="s">
        <v>3527</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3528</v>
      </c>
      <c r="Y756" s="67"/>
      <c r="Z756" s="123" t="s">
        <v>3410</v>
      </c>
      <c r="AA756" s="341" t="s">
        <v>2849</v>
      </c>
      <c r="AB756" s="123" t="s">
        <v>3361</v>
      </c>
      <c r="AC756" s="365"/>
    </row>
    <row r="757" spans="1:29" ht="39.950000000000003" customHeight="1">
      <c r="A757" s="67">
        <v>763</v>
      </c>
      <c r="B757" s="69">
        <v>45204</v>
      </c>
      <c r="C757" s="74">
        <v>0.4201388888888889</v>
      </c>
      <c r="D757" s="67" t="s">
        <v>3219</v>
      </c>
      <c r="E757" s="68" t="s">
        <v>3495</v>
      </c>
      <c r="F757" s="67">
        <v>1</v>
      </c>
      <c r="G757" s="67" t="s">
        <v>283</v>
      </c>
      <c r="H757" s="69">
        <v>45219</v>
      </c>
      <c r="I757" s="69" t="s">
        <v>73</v>
      </c>
      <c r="J757" s="69" t="s">
        <v>31</v>
      </c>
      <c r="K757" s="67">
        <f>IFERROR(VLOOKUP(J757,Jueces!$A$1:$B$11,2,FALSE),"")</f>
        <v>2</v>
      </c>
      <c r="L757" s="67" t="s">
        <v>800</v>
      </c>
      <c r="M757" s="67" t="s">
        <v>712</v>
      </c>
      <c r="N757" s="67" t="s">
        <v>3532</v>
      </c>
      <c r="O757" s="83" t="str">
        <f t="shared" ca="1" si="45"/>
        <v>SI</v>
      </c>
      <c r="P757" s="83" t="str">
        <f t="shared" si="44"/>
        <v>DIANOSOL</v>
      </c>
      <c r="Q757" s="67" t="s">
        <v>905</v>
      </c>
      <c r="R757" s="67" t="str">
        <f>VLOOKUP($Q757,Resultados!$A$1:$B$49,2,FALSE)</f>
        <v>Juicio Abreviado</v>
      </c>
      <c r="S757" s="67" t="s">
        <v>1340</v>
      </c>
      <c r="T757" s="86" t="str">
        <f t="shared" si="46"/>
        <v>NO</v>
      </c>
      <c r="U757" s="86"/>
      <c r="V757" s="83"/>
      <c r="W757" s="67" t="s">
        <v>1235</v>
      </c>
      <c r="X757" s="67" t="s">
        <v>3533</v>
      </c>
      <c r="Y757" s="67"/>
      <c r="Z757" s="123" t="s">
        <v>3473</v>
      </c>
      <c r="AA757" s="341" t="s">
        <v>1170</v>
      </c>
      <c r="AB757" s="123" t="s">
        <v>1174</v>
      </c>
      <c r="AC757" s="365"/>
    </row>
    <row r="758" spans="1:29" ht="39.950000000000003" customHeight="1">
      <c r="A758" s="67">
        <v>739</v>
      </c>
      <c r="B758" s="69">
        <v>45201</v>
      </c>
      <c r="C758" s="74">
        <v>0.47916666666666669</v>
      </c>
      <c r="D758" s="67" t="s">
        <v>3114</v>
      </c>
      <c r="E758" s="68" t="s">
        <v>3214</v>
      </c>
      <c r="F758" s="67">
        <v>1</v>
      </c>
      <c r="G758" s="67" t="s">
        <v>2785</v>
      </c>
      <c r="H758" s="69">
        <v>45219</v>
      </c>
      <c r="I758" s="69" t="s">
        <v>1086</v>
      </c>
      <c r="J758" s="69" t="s">
        <v>1730</v>
      </c>
      <c r="K758" s="67" t="s">
        <v>1924</v>
      </c>
      <c r="L758" s="67" t="s">
        <v>789</v>
      </c>
      <c r="M758" s="67" t="s">
        <v>3215</v>
      </c>
      <c r="N758" s="67" t="s">
        <v>3529</v>
      </c>
      <c r="O758" s="83" t="str">
        <f t="shared" ca="1" si="45"/>
        <v>SI</v>
      </c>
      <c r="P758" s="83" t="str">
        <f t="shared" si="44"/>
        <v>DIANOSOL</v>
      </c>
      <c r="Q758" s="67" t="s">
        <v>151</v>
      </c>
      <c r="R758" s="67" t="str">
        <f>VLOOKUP($Q758,Resultados!$A$1:$B$49,2,FALSE)</f>
        <v>Prisión Preventiva</v>
      </c>
      <c r="S758" s="67" t="s">
        <v>1229</v>
      </c>
      <c r="T758" s="86" t="str">
        <f t="shared" si="46"/>
        <v>NO</v>
      </c>
      <c r="U758" s="86"/>
      <c r="V758" s="83"/>
      <c r="W758" s="67" t="s">
        <v>1633</v>
      </c>
      <c r="X758" s="67" t="s">
        <v>3530</v>
      </c>
      <c r="Y758" s="67"/>
      <c r="Z758" s="123" t="s">
        <v>2864</v>
      </c>
      <c r="AA758" s="341" t="s">
        <v>1168</v>
      </c>
      <c r="AB758" s="123" t="s">
        <v>1173</v>
      </c>
      <c r="AC758" s="365"/>
    </row>
    <row r="759" spans="1:29" ht="39.950000000000003" customHeight="1">
      <c r="A759" s="67">
        <v>749</v>
      </c>
      <c r="B759" s="69">
        <v>45202</v>
      </c>
      <c r="C759" s="74">
        <v>0.46249999999999997</v>
      </c>
      <c r="D759" s="67" t="s">
        <v>3162</v>
      </c>
      <c r="E759" s="68" t="s">
        <v>3163</v>
      </c>
      <c r="F759" s="67">
        <v>8</v>
      </c>
      <c r="G759" s="67" t="s">
        <v>1440</v>
      </c>
      <c r="H759" s="69">
        <v>45219</v>
      </c>
      <c r="I759" s="69" t="s">
        <v>1086</v>
      </c>
      <c r="J759" s="69" t="s">
        <v>1224</v>
      </c>
      <c r="K759" s="67">
        <f>IFERROR(VLOOKUP(J759,Jueces!$A$1:$B$11,2,FALSE),"")</f>
        <v>6</v>
      </c>
      <c r="L759" s="67" t="s">
        <v>2088</v>
      </c>
      <c r="M759" s="67" t="s">
        <v>711</v>
      </c>
      <c r="N759" s="67" t="s">
        <v>3525</v>
      </c>
      <c r="O759" s="83" t="str">
        <f t="shared" ca="1" si="45"/>
        <v>SI</v>
      </c>
      <c r="P759" s="83" t="str">
        <f t="shared" si="44"/>
        <v>DIANOSOL</v>
      </c>
      <c r="Q759" s="67" t="s">
        <v>911</v>
      </c>
      <c r="R759" s="67" t="str">
        <f>VLOOKUP($Q759,Resultados!$A$1:$B$49,2,FALSE)</f>
        <v>Suspendida</v>
      </c>
      <c r="S759" s="67" t="s">
        <v>1008</v>
      </c>
      <c r="T759" s="86" t="str">
        <f t="shared" si="46"/>
        <v>SI</v>
      </c>
      <c r="U759" s="86"/>
      <c r="V759" s="83"/>
      <c r="W759" s="67" t="s">
        <v>2074</v>
      </c>
      <c r="X759" s="67"/>
      <c r="Y759" s="67"/>
      <c r="Z759" s="123" t="s">
        <v>748</v>
      </c>
      <c r="AA759" s="341" t="s">
        <v>1170</v>
      </c>
      <c r="AB759" s="123" t="s">
        <v>1172</v>
      </c>
      <c r="AC759" s="365"/>
    </row>
    <row r="760" spans="1:29" ht="39.950000000000003" customHeight="1">
      <c r="A760" s="67">
        <v>767</v>
      </c>
      <c r="B760" s="69">
        <v>45205</v>
      </c>
      <c r="C760" s="74">
        <v>0.4548611111111111</v>
      </c>
      <c r="D760" s="67" t="s">
        <v>3233</v>
      </c>
      <c r="E760" s="68" t="s">
        <v>3249</v>
      </c>
      <c r="F760" s="67">
        <v>1</v>
      </c>
      <c r="G760" s="67" t="s">
        <v>2771</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6"/>
        <v>NO</v>
      </c>
      <c r="U760" s="86"/>
      <c r="V760" s="83"/>
      <c r="W760" s="67" t="s">
        <v>2901</v>
      </c>
      <c r="X760" s="67"/>
      <c r="Y760" s="67"/>
      <c r="Z760" s="123" t="s">
        <v>2892</v>
      </c>
      <c r="AA760" s="341" t="s">
        <v>2849</v>
      </c>
      <c r="AB760" s="123" t="s">
        <v>3297</v>
      </c>
      <c r="AC760" s="365"/>
    </row>
    <row r="761" spans="1:29" ht="39.950000000000003" customHeight="1">
      <c r="A761" s="67">
        <v>761</v>
      </c>
      <c r="B761" s="69">
        <v>45204</v>
      </c>
      <c r="C761" s="74">
        <v>0.37291666666666662</v>
      </c>
      <c r="D761" s="362" t="s">
        <v>3217</v>
      </c>
      <c r="E761" s="68" t="s">
        <v>3218</v>
      </c>
      <c r="F761" s="67">
        <v>1</v>
      </c>
      <c r="G761" s="67" t="s">
        <v>2835</v>
      </c>
      <c r="H761" s="69">
        <v>45219</v>
      </c>
      <c r="I761" s="69" t="s">
        <v>1209</v>
      </c>
      <c r="J761" s="69" t="s">
        <v>33</v>
      </c>
      <c r="K761" s="67" t="s">
        <v>3303</v>
      </c>
      <c r="L761" s="67" t="s">
        <v>807</v>
      </c>
      <c r="M761" s="67" t="s">
        <v>712</v>
      </c>
      <c r="N761" s="67" t="s">
        <v>3534</v>
      </c>
      <c r="O761" s="83" t="str">
        <f t="shared" ca="1" si="45"/>
        <v>SI</v>
      </c>
      <c r="P761" s="83" t="str">
        <f t="shared" si="44"/>
        <v>DIANOSOL</v>
      </c>
      <c r="Q761" s="67" t="s">
        <v>911</v>
      </c>
      <c r="R761" s="67" t="str">
        <f>VLOOKUP($Q761,Resultados!$A$1:$B$49,2,FALSE)</f>
        <v>Suspendida</v>
      </c>
      <c r="S761" s="67"/>
      <c r="T761" s="86" t="str">
        <f t="shared" si="46"/>
        <v>NO</v>
      </c>
      <c r="U761" s="86"/>
      <c r="V761" s="83"/>
      <c r="W761" s="67"/>
      <c r="X761" s="67" t="s">
        <v>3535</v>
      </c>
      <c r="Y761" s="67"/>
      <c r="Z761" s="123" t="s">
        <v>3410</v>
      </c>
      <c r="AA761" s="123" t="s">
        <v>3344</v>
      </c>
      <c r="AB761" s="123" t="s">
        <v>1174</v>
      </c>
      <c r="AC761" s="365" t="s">
        <v>1799</v>
      </c>
    </row>
    <row r="762" spans="1:29" ht="39.950000000000003" customHeight="1">
      <c r="A762" s="67">
        <v>846</v>
      </c>
      <c r="B762" s="69"/>
      <c r="C762" s="67"/>
      <c r="D762" s="67" t="s">
        <v>3500</v>
      </c>
      <c r="E762" s="68" t="s">
        <v>3501</v>
      </c>
      <c r="F762" s="67">
        <v>2</v>
      </c>
      <c r="G762" s="67" t="s">
        <v>29</v>
      </c>
      <c r="H762" s="69">
        <v>45219</v>
      </c>
      <c r="I762" s="69" t="s">
        <v>228</v>
      </c>
      <c r="J762" s="69" t="s">
        <v>31</v>
      </c>
      <c r="K762" s="67">
        <v>2</v>
      </c>
      <c r="L762" s="67" t="s">
        <v>1305</v>
      </c>
      <c r="M762" s="67" t="s">
        <v>3502</v>
      </c>
      <c r="N762" s="67" t="s">
        <v>3531</v>
      </c>
      <c r="O762" s="83" t="str">
        <f t="shared" ca="1" si="45"/>
        <v>SI</v>
      </c>
      <c r="P762" s="83" t="str">
        <f t="shared" si="44"/>
        <v>DIANOSOL</v>
      </c>
      <c r="Q762" s="67" t="s">
        <v>905</v>
      </c>
      <c r="R762" s="67" t="str">
        <f>VLOOKUP($Q762,Resultados!$A$1:$B$49,2,FALSE)</f>
        <v>Juicio Abreviado</v>
      </c>
      <c r="S762" s="67" t="s">
        <v>3405</v>
      </c>
      <c r="T762" s="86" t="str">
        <f t="shared" si="46"/>
        <v>NO</v>
      </c>
      <c r="U762" s="86"/>
      <c r="V762" s="83"/>
      <c r="W762" s="67" t="s">
        <v>3278</v>
      </c>
      <c r="X762" s="67" t="s">
        <v>3079</v>
      </c>
      <c r="Y762" s="67"/>
      <c r="Z762" s="123" t="s">
        <v>748</v>
      </c>
      <c r="AA762" s="67"/>
      <c r="AB762" s="123" t="s">
        <v>3361</v>
      </c>
      <c r="AC762" s="365"/>
    </row>
    <row r="763" spans="1:29" ht="39.950000000000003" customHeight="1">
      <c r="A763" s="67">
        <v>754</v>
      </c>
      <c r="B763" s="69">
        <v>45202</v>
      </c>
      <c r="C763" s="74">
        <v>0.53194444444444444</v>
      </c>
      <c r="D763" s="67" t="s">
        <v>3169</v>
      </c>
      <c r="E763" s="68" t="s">
        <v>3170</v>
      </c>
      <c r="F763" s="67">
        <v>1</v>
      </c>
      <c r="G763" s="67" t="s">
        <v>1441</v>
      </c>
      <c r="H763" s="69">
        <v>45222</v>
      </c>
      <c r="I763" s="69" t="s">
        <v>73</v>
      </c>
      <c r="J763" s="69" t="s">
        <v>2948</v>
      </c>
      <c r="K763" s="67" t="s">
        <v>1924</v>
      </c>
      <c r="L763" s="67" t="s">
        <v>814</v>
      </c>
      <c r="M763" s="67" t="s">
        <v>711</v>
      </c>
      <c r="N763" s="67" t="s">
        <v>3556</v>
      </c>
      <c r="O763" s="67" t="str">
        <f t="shared" ca="1" si="45"/>
        <v>SI</v>
      </c>
      <c r="P763" s="67" t="str">
        <f t="shared" si="44"/>
        <v>DIANOSOL</v>
      </c>
      <c r="Q763" s="67" t="s">
        <v>151</v>
      </c>
      <c r="R763" s="67" t="str">
        <f>VLOOKUP($Q763,Resultados!$A$1:$B$49,2,FALSE)</f>
        <v>Prisión Preventiva</v>
      </c>
      <c r="S763" s="67" t="s">
        <v>1291</v>
      </c>
      <c r="T763" s="77" t="str">
        <f t="shared" si="46"/>
        <v>NO</v>
      </c>
      <c r="U763" s="77"/>
      <c r="V763" s="67"/>
      <c r="W763" s="67" t="s">
        <v>1251</v>
      </c>
      <c r="X763" s="67" t="s">
        <v>3557</v>
      </c>
      <c r="Y763" s="67"/>
      <c r="Z763" s="123" t="s">
        <v>748</v>
      </c>
      <c r="AA763" s="341" t="s">
        <v>1170</v>
      </c>
      <c r="AB763" s="123" t="s">
        <v>1176</v>
      </c>
      <c r="AC763" s="365"/>
    </row>
    <row r="764" spans="1:29" ht="39.950000000000003" customHeight="1">
      <c r="A764" s="67">
        <v>780</v>
      </c>
      <c r="B764" s="69">
        <v>45209</v>
      </c>
      <c r="C764" s="74">
        <v>0.40069444444444446</v>
      </c>
      <c r="D764" s="362" t="s">
        <v>3295</v>
      </c>
      <c r="E764" s="68" t="s">
        <v>3338</v>
      </c>
      <c r="F764" s="67">
        <v>1</v>
      </c>
      <c r="G764" s="67" t="s">
        <v>2835</v>
      </c>
      <c r="H764" s="69">
        <v>45222</v>
      </c>
      <c r="I764" s="69" t="s">
        <v>73</v>
      </c>
      <c r="J764" s="69" t="s">
        <v>2951</v>
      </c>
      <c r="K764" s="67" t="s">
        <v>1345</v>
      </c>
      <c r="L764" s="67" t="s">
        <v>569</v>
      </c>
      <c r="M764" s="67" t="s">
        <v>3339</v>
      </c>
      <c r="N764" s="67" t="s">
        <v>3564</v>
      </c>
      <c r="O764" s="67" t="str">
        <f t="shared" ca="1" si="45"/>
        <v>SI</v>
      </c>
      <c r="P764" s="67" t="str">
        <f t="shared" si="44"/>
        <v>DIANOSOL</v>
      </c>
      <c r="Q764" s="67" t="s">
        <v>904</v>
      </c>
      <c r="R764" s="67" t="str">
        <f>VLOOKUP($Q764,Resultados!$A$1:$B$49,2,FALSE)</f>
        <v>Juicio Abreviado</v>
      </c>
      <c r="S764" s="67" t="s">
        <v>2418</v>
      </c>
      <c r="T764" s="77" t="str">
        <f t="shared" si="46"/>
        <v>NO</v>
      </c>
      <c r="U764" s="77"/>
      <c r="V764" s="67"/>
      <c r="W764" s="67" t="s">
        <v>1137</v>
      </c>
      <c r="X764" s="67" t="s">
        <v>3565</v>
      </c>
      <c r="Y764" s="67"/>
      <c r="Z764" s="123" t="s">
        <v>3473</v>
      </c>
      <c r="AA764" s="123"/>
      <c r="AB764" s="123" t="s">
        <v>1173</v>
      </c>
      <c r="AC764" s="365" t="s">
        <v>1799</v>
      </c>
    </row>
    <row r="765" spans="1:29" ht="39.950000000000003" customHeight="1">
      <c r="A765" s="67">
        <v>782</v>
      </c>
      <c r="B765" s="69"/>
      <c r="C765" s="67"/>
      <c r="D765" s="67" t="s">
        <v>3301</v>
      </c>
      <c r="E765" s="68" t="s">
        <v>3302</v>
      </c>
      <c r="F765" s="67">
        <v>1</v>
      </c>
      <c r="G765" s="67" t="s">
        <v>1442</v>
      </c>
      <c r="H765" s="69">
        <v>45222</v>
      </c>
      <c r="I765" s="69" t="s">
        <v>73</v>
      </c>
      <c r="J765" s="69" t="s">
        <v>1730</v>
      </c>
      <c r="K765" s="67" t="s">
        <v>2340</v>
      </c>
      <c r="L765" s="67" t="s">
        <v>812</v>
      </c>
      <c r="M765" s="367" t="s">
        <v>2236</v>
      </c>
      <c r="N765" s="67" t="s">
        <v>3562</v>
      </c>
      <c r="O765" s="67" t="str">
        <f t="shared" ca="1" si="45"/>
        <v>SI</v>
      </c>
      <c r="P765" s="67" t="str">
        <f t="shared" si="44"/>
        <v>DIANOSOL</v>
      </c>
      <c r="Q765" s="67" t="s">
        <v>151</v>
      </c>
      <c r="R765" s="67" t="str">
        <f>VLOOKUP($Q765,Resultados!$A$1:$B$49,2,FALSE)</f>
        <v>Prisión Preventiva</v>
      </c>
      <c r="S765" s="67" t="s">
        <v>1133</v>
      </c>
      <c r="T765" s="77" t="str">
        <f t="shared" si="46"/>
        <v>NO</v>
      </c>
      <c r="U765" s="77"/>
      <c r="V765" s="67"/>
      <c r="W765" s="67" t="s">
        <v>76</v>
      </c>
      <c r="X765" s="67" t="s">
        <v>3563</v>
      </c>
      <c r="Y765" s="67"/>
      <c r="Z765" s="123" t="s">
        <v>2864</v>
      </c>
      <c r="AA765" s="341" t="s">
        <v>2849</v>
      </c>
      <c r="AB765" s="123" t="s">
        <v>1172</v>
      </c>
      <c r="AC765" s="365"/>
    </row>
    <row r="766" spans="1:29" ht="39.950000000000003" customHeight="1">
      <c r="A766" s="67">
        <v>774</v>
      </c>
      <c r="B766" s="69" t="s">
        <v>3266</v>
      </c>
      <c r="C766" s="67" t="s">
        <v>3264</v>
      </c>
      <c r="D766" s="67" t="s">
        <v>3265</v>
      </c>
      <c r="E766" s="68" t="s">
        <v>3334</v>
      </c>
      <c r="F766" s="67">
        <v>2</v>
      </c>
      <c r="G766" s="67" t="s">
        <v>3363</v>
      </c>
      <c r="H766" s="69">
        <v>45222</v>
      </c>
      <c r="I766" s="69" t="s">
        <v>1209</v>
      </c>
      <c r="J766" s="69" t="s">
        <v>78</v>
      </c>
      <c r="K766" s="67">
        <f>IFERROR(VLOOKUP(J766,Jueces!$A$1:$B$11,2,FALSE),"")</f>
        <v>8</v>
      </c>
      <c r="L766" s="67" t="s">
        <v>806</v>
      </c>
      <c r="M766" s="7" t="s">
        <v>692</v>
      </c>
      <c r="N766" s="67" t="s">
        <v>3558</v>
      </c>
      <c r="O766" s="67" t="str">
        <f t="shared" ca="1" si="45"/>
        <v>SI</v>
      </c>
      <c r="P766" s="67" t="str">
        <f t="shared" si="44"/>
        <v>DIANOSOL</v>
      </c>
      <c r="Q766" s="67" t="s">
        <v>904</v>
      </c>
      <c r="R766" s="67" t="str">
        <f>VLOOKUP($Q766,Resultados!$A$1:$B$49,2,FALSE)</f>
        <v>Juicio Abreviado</v>
      </c>
      <c r="S766" s="67" t="s">
        <v>3559</v>
      </c>
      <c r="T766" s="77" t="str">
        <f t="shared" si="46"/>
        <v>NO</v>
      </c>
      <c r="U766" s="77"/>
      <c r="V766" s="67"/>
      <c r="W766" s="67" t="s">
        <v>3560</v>
      </c>
      <c r="X766" s="67" t="s">
        <v>3561</v>
      </c>
      <c r="Y766" s="67"/>
      <c r="Z766" s="123" t="s">
        <v>3410</v>
      </c>
      <c r="AA766" s="123" t="s">
        <v>3421</v>
      </c>
      <c r="AB766" s="123" t="s">
        <v>3297</v>
      </c>
      <c r="AC766" s="365"/>
    </row>
    <row r="767" spans="1:29" ht="39.950000000000003" customHeight="1">
      <c r="A767" s="67">
        <v>776</v>
      </c>
      <c r="B767" s="69">
        <v>45209</v>
      </c>
      <c r="C767" s="74">
        <v>0.33333333333333331</v>
      </c>
      <c r="D767" s="67" t="s">
        <v>3269</v>
      </c>
      <c r="E767" s="68" t="s">
        <v>3270</v>
      </c>
      <c r="F767" s="67">
        <v>1</v>
      </c>
      <c r="G767" s="67" t="s">
        <v>3362</v>
      </c>
      <c r="H767" s="69">
        <v>45222</v>
      </c>
      <c r="I767" s="69" t="s">
        <v>3209</v>
      </c>
      <c r="J767" s="69" t="s">
        <v>33</v>
      </c>
      <c r="K767" s="67" t="s">
        <v>2340</v>
      </c>
      <c r="L767" s="67" t="s">
        <v>806</v>
      </c>
      <c r="M767" s="67" t="s">
        <v>1178</v>
      </c>
      <c r="N767" s="67" t="s">
        <v>3574</v>
      </c>
      <c r="O767" s="67" t="str">
        <f t="shared" ca="1" si="45"/>
        <v>SI</v>
      </c>
      <c r="P767" s="67" t="str">
        <f t="shared" si="44"/>
        <v>DIANOSOL</v>
      </c>
      <c r="Q767" s="67" t="s">
        <v>905</v>
      </c>
      <c r="R767" s="67" t="str">
        <f>VLOOKUP($Q767,Resultados!$A$1:$B$49,2,FALSE)</f>
        <v>Juicio Abreviado</v>
      </c>
      <c r="S767" s="67" t="s">
        <v>989</v>
      </c>
      <c r="T767" s="77" t="str">
        <f t="shared" si="46"/>
        <v>NO</v>
      </c>
      <c r="U767" s="77"/>
      <c r="V767" s="67"/>
      <c r="W767" s="67" t="s">
        <v>3573</v>
      </c>
      <c r="X767" s="229" t="s">
        <v>3575</v>
      </c>
      <c r="Y767" s="67"/>
      <c r="Z767" s="123" t="s">
        <v>748</v>
      </c>
      <c r="AA767" s="123" t="s">
        <v>1170</v>
      </c>
      <c r="AB767" s="123" t="s">
        <v>3361</v>
      </c>
      <c r="AC767" s="365"/>
    </row>
    <row r="768" spans="1:29" ht="39.950000000000003" customHeight="1">
      <c r="A768" s="67">
        <v>753</v>
      </c>
      <c r="B768" s="69">
        <v>45202</v>
      </c>
      <c r="C768" s="74">
        <v>0.47638888888888892</v>
      </c>
      <c r="D768" s="67" t="s">
        <v>3168</v>
      </c>
      <c r="E768" s="68" t="s">
        <v>3326</v>
      </c>
      <c r="F768" s="67">
        <v>1</v>
      </c>
      <c r="G768" s="67" t="s">
        <v>568</v>
      </c>
      <c r="H768" s="69">
        <v>45222</v>
      </c>
      <c r="I768" s="69" t="s">
        <v>989</v>
      </c>
      <c r="J768" s="69" t="s">
        <v>1220</v>
      </c>
      <c r="K768" s="67" t="s">
        <v>1924</v>
      </c>
      <c r="L768" s="67" t="s">
        <v>812</v>
      </c>
      <c r="M768" s="67" t="s">
        <v>712</v>
      </c>
      <c r="N768" s="67" t="s">
        <v>3566</v>
      </c>
      <c r="O768" s="67" t="str">
        <f t="shared" ca="1" si="45"/>
        <v>SI</v>
      </c>
      <c r="P768" s="67" t="str">
        <f t="shared" si="44"/>
        <v>DIANOSOL</v>
      </c>
      <c r="Q768" s="67" t="s">
        <v>904</v>
      </c>
      <c r="R768" s="67" t="str">
        <f>VLOOKUP($Q768,Resultados!$A$1:$B$49,2,FALSE)</f>
        <v>Juicio Abreviado</v>
      </c>
      <c r="S768" s="67" t="s">
        <v>3567</v>
      </c>
      <c r="T768" s="77" t="str">
        <f t="shared" si="46"/>
        <v>NO</v>
      </c>
      <c r="U768" s="77"/>
      <c r="V768" s="67"/>
      <c r="W768" s="67" t="s">
        <v>77</v>
      </c>
      <c r="X768" s="67" t="s">
        <v>3568</v>
      </c>
      <c r="Y768" s="67"/>
      <c r="Z768" s="123" t="s">
        <v>3473</v>
      </c>
      <c r="AA768" s="341" t="s">
        <v>1168</v>
      </c>
      <c r="AB768" s="123" t="s">
        <v>1176</v>
      </c>
      <c r="AC768" s="365"/>
    </row>
    <row r="769" spans="1:29" ht="39.950000000000003" customHeight="1">
      <c r="A769" s="67">
        <v>728</v>
      </c>
      <c r="B769" s="69">
        <v>45197</v>
      </c>
      <c r="C769" s="74">
        <v>0.50138888888888888</v>
      </c>
      <c r="D769" s="67" t="s">
        <v>3076</v>
      </c>
      <c r="E769" s="68" t="s">
        <v>3077</v>
      </c>
      <c r="F769" s="67">
        <v>1</v>
      </c>
      <c r="G769" s="67" t="s">
        <v>3362</v>
      </c>
      <c r="H769" s="69">
        <v>45223</v>
      </c>
      <c r="I769" s="69" t="s">
        <v>73</v>
      </c>
      <c r="J769" s="69" t="s">
        <v>31</v>
      </c>
      <c r="K769" s="67">
        <f>IFERROR(VLOOKUP(J769,Jueces!$A$1:$B$11,2,FALSE),"")</f>
        <v>2</v>
      </c>
      <c r="L769" s="67" t="s">
        <v>2092</v>
      </c>
      <c r="M769" s="67" t="s">
        <v>3247</v>
      </c>
      <c r="N769" s="67" t="s">
        <v>3592</v>
      </c>
      <c r="O769" s="67" t="str">
        <f t="shared" ca="1" si="45"/>
        <v>SI</v>
      </c>
      <c r="P769" s="67" t="str">
        <f t="shared" si="44"/>
        <v>DIANOSOL</v>
      </c>
      <c r="Q769" s="67" t="s">
        <v>151</v>
      </c>
      <c r="R769" s="67" t="str">
        <f>VLOOKUP($Q769,Resultados!$A$1:$B$49,2,FALSE)</f>
        <v>Prisión Preventiva</v>
      </c>
      <c r="S769" s="67" t="s">
        <v>3132</v>
      </c>
      <c r="T769" s="77" t="str">
        <f t="shared" si="46"/>
        <v>NO</v>
      </c>
      <c r="U769" s="77"/>
      <c r="V769" s="67"/>
      <c r="W769" s="67" t="s">
        <v>1134</v>
      </c>
      <c r="X769" s="67" t="s">
        <v>3593</v>
      </c>
      <c r="Y769" s="67"/>
      <c r="Z769" s="123" t="s">
        <v>3473</v>
      </c>
      <c r="AA769" s="341" t="s">
        <v>1168</v>
      </c>
      <c r="AB769" s="123" t="s">
        <v>1173</v>
      </c>
      <c r="AC769" s="365"/>
    </row>
    <row r="770" spans="1:29" ht="39.950000000000003" customHeight="1">
      <c r="A770" s="67">
        <v>748</v>
      </c>
      <c r="B770" s="69">
        <v>45202</v>
      </c>
      <c r="C770" s="74">
        <v>0.47083333333333338</v>
      </c>
      <c r="D770" s="67" t="s">
        <v>3160</v>
      </c>
      <c r="E770" s="68" t="s">
        <v>3161</v>
      </c>
      <c r="F770" s="67">
        <v>8</v>
      </c>
      <c r="G770" s="67" t="s">
        <v>3363</v>
      </c>
      <c r="H770" s="69">
        <v>45223</v>
      </c>
      <c r="I770" s="69" t="s">
        <v>73</v>
      </c>
      <c r="J770" s="69" t="s">
        <v>2948</v>
      </c>
      <c r="K770" s="67" t="s">
        <v>1345</v>
      </c>
      <c r="L770" s="67" t="s">
        <v>791</v>
      </c>
      <c r="M770" s="67" t="s">
        <v>887</v>
      </c>
      <c r="N770" s="67" t="s">
        <v>3586</v>
      </c>
      <c r="O770" s="83" t="str">
        <f t="shared" ca="1" si="45"/>
        <v>SI</v>
      </c>
      <c r="P770" s="83" t="str">
        <f t="shared" si="44"/>
        <v>DIANOSOL</v>
      </c>
      <c r="Q770" s="67" t="s">
        <v>905</v>
      </c>
      <c r="R770" s="67" t="str">
        <f>VLOOKUP($Q770,Resultados!$A$1:$B$49,2,FALSE)</f>
        <v>Juicio Abreviado</v>
      </c>
      <c r="S770" s="67" t="s">
        <v>2254</v>
      </c>
      <c r="T770" s="86" t="str">
        <f t="shared" si="46"/>
        <v>NO</v>
      </c>
      <c r="U770" s="86"/>
      <c r="V770" s="83"/>
      <c r="W770" s="67" t="s">
        <v>1498</v>
      </c>
      <c r="X770" s="67"/>
      <c r="Y770" s="67"/>
      <c r="Z770" s="123" t="s">
        <v>748</v>
      </c>
      <c r="AA770" s="341" t="s">
        <v>2849</v>
      </c>
      <c r="AB770" s="123" t="s">
        <v>1172</v>
      </c>
      <c r="AC770" s="365"/>
    </row>
    <row r="771" spans="1:29" ht="39.950000000000003" customHeight="1">
      <c r="A771" s="67">
        <v>781</v>
      </c>
      <c r="B771" s="69">
        <v>45208</v>
      </c>
      <c r="C771" s="67" t="s">
        <v>73</v>
      </c>
      <c r="D771" s="67" t="s">
        <v>3296</v>
      </c>
      <c r="E771" s="68" t="s">
        <v>3336</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7">IF($P$1=H771,"DIASOL", "DIANOSOL")</f>
        <v>DIANOSOL</v>
      </c>
      <c r="Q771" s="67" t="s">
        <v>151</v>
      </c>
      <c r="R771" s="67" t="str">
        <f>VLOOKUP($Q771,Resultados!$A$1:$B$49,2,FALSE)</f>
        <v>Prisión Preventiva</v>
      </c>
      <c r="S771" s="67" t="s">
        <v>1034</v>
      </c>
      <c r="T771" s="86" t="str">
        <f t="shared" si="46"/>
        <v>SI</v>
      </c>
      <c r="U771" s="86"/>
      <c r="V771" s="83"/>
      <c r="W771" s="67" t="s">
        <v>1230</v>
      </c>
      <c r="X771" s="67" t="s">
        <v>2568</v>
      </c>
      <c r="Y771" s="67"/>
      <c r="Z771" s="123" t="s">
        <v>2864</v>
      </c>
      <c r="AA771" s="123" t="s">
        <v>3421</v>
      </c>
      <c r="AB771" s="123" t="s">
        <v>3297</v>
      </c>
      <c r="AC771" s="365"/>
    </row>
    <row r="772" spans="1:29" ht="39.950000000000003" customHeight="1">
      <c r="A772" s="67">
        <v>792</v>
      </c>
      <c r="B772" s="69">
        <v>45209</v>
      </c>
      <c r="C772" s="74">
        <v>0.38958333333333334</v>
      </c>
      <c r="D772" s="67" t="s">
        <v>3319</v>
      </c>
      <c r="E772" s="68" t="s">
        <v>3320</v>
      </c>
      <c r="F772" s="67">
        <v>1</v>
      </c>
      <c r="G772" s="67" t="s">
        <v>1441</v>
      </c>
      <c r="H772" s="69">
        <v>45223</v>
      </c>
      <c r="I772" s="69" t="s">
        <v>73</v>
      </c>
      <c r="J772" s="69" t="s">
        <v>78</v>
      </c>
      <c r="K772" s="67">
        <f>IFERROR(VLOOKUP(J772,Jueces!$A$1:$B$11,2,FALSE),"")</f>
        <v>8</v>
      </c>
      <c r="L772" s="67" t="s">
        <v>811</v>
      </c>
      <c r="M772" s="67" t="s">
        <v>712</v>
      </c>
      <c r="N772" s="67" t="s">
        <v>2583</v>
      </c>
      <c r="O772" s="83" t="str">
        <f t="shared" ca="1" si="45"/>
        <v>SI</v>
      </c>
      <c r="P772" s="83" t="str">
        <f t="shared" si="47"/>
        <v>DIANOSOL</v>
      </c>
      <c r="Q772" s="67" t="s">
        <v>904</v>
      </c>
      <c r="R772" s="67" t="str">
        <f>VLOOKUP($Q772,Resultados!$A$1:$B$49,2,FALSE)</f>
        <v>Juicio Abreviado</v>
      </c>
      <c r="S772" s="67" t="s">
        <v>1563</v>
      </c>
      <c r="T772" s="86" t="str">
        <f t="shared" si="46"/>
        <v>NO</v>
      </c>
      <c r="U772" s="86"/>
      <c r="V772" s="83"/>
      <c r="W772" s="67" t="s">
        <v>3587</v>
      </c>
      <c r="X772" s="67" t="s">
        <v>3588</v>
      </c>
      <c r="Y772" s="67"/>
      <c r="Z772" s="123" t="s">
        <v>3410</v>
      </c>
      <c r="AA772" s="341" t="s">
        <v>2849</v>
      </c>
      <c r="AB772" s="123" t="s">
        <v>2888</v>
      </c>
      <c r="AC772" s="365"/>
    </row>
    <row r="773" spans="1:29" ht="39.950000000000003" customHeight="1">
      <c r="A773" s="67">
        <v>779</v>
      </c>
      <c r="B773" s="69">
        <v>45209</v>
      </c>
      <c r="C773" s="67" t="s">
        <v>3283</v>
      </c>
      <c r="D773" s="67" t="s">
        <v>3284</v>
      </c>
      <c r="E773" s="68" t="s">
        <v>3325</v>
      </c>
      <c r="F773" s="67">
        <v>1</v>
      </c>
      <c r="G773" s="67" t="s">
        <v>2835</v>
      </c>
      <c r="H773" s="69">
        <v>45223</v>
      </c>
      <c r="I773" s="69" t="s">
        <v>1086</v>
      </c>
      <c r="J773" s="69" t="s">
        <v>1219</v>
      </c>
      <c r="K773" s="67">
        <f>IFERROR(VLOOKUP(J773,Jueces!$A$1:$B$11,2,FALSE),"")</f>
        <v>1</v>
      </c>
      <c r="L773" s="67" t="s">
        <v>806</v>
      </c>
      <c r="M773" s="67" t="s">
        <v>1178</v>
      </c>
      <c r="N773" s="67" t="s">
        <v>621</v>
      </c>
      <c r="O773" s="83" t="str">
        <f t="shared" ca="1" si="45"/>
        <v>SI</v>
      </c>
      <c r="P773" s="83" t="str">
        <f t="shared" si="47"/>
        <v>DIANOSOL</v>
      </c>
      <c r="Q773" s="67" t="s">
        <v>151</v>
      </c>
      <c r="R773" s="67" t="str">
        <f>VLOOKUP($Q773,Resultados!$A$1:$B$49,2,FALSE)</f>
        <v>Prisión Preventiva</v>
      </c>
      <c r="S773" s="67" t="s">
        <v>1036</v>
      </c>
      <c r="T773" s="86" t="str">
        <f t="shared" si="46"/>
        <v>NO</v>
      </c>
      <c r="U773" s="86"/>
      <c r="V773" s="83"/>
      <c r="W773" s="67" t="s">
        <v>1005</v>
      </c>
      <c r="X773" s="67" t="s">
        <v>2568</v>
      </c>
      <c r="Y773" s="67"/>
      <c r="Z773" s="123" t="s">
        <v>748</v>
      </c>
      <c r="AA773" s="123" t="s">
        <v>1170</v>
      </c>
      <c r="AB773" s="123" t="s">
        <v>3361</v>
      </c>
      <c r="AC773" s="365"/>
    </row>
    <row r="774" spans="1:29" ht="39.950000000000003" customHeight="1">
      <c r="A774" s="67">
        <v>796</v>
      </c>
      <c r="B774" s="69">
        <v>45210</v>
      </c>
      <c r="C774" s="74">
        <v>0.41250000000000003</v>
      </c>
      <c r="D774" s="67" t="s">
        <v>3333</v>
      </c>
      <c r="E774" s="68" t="s">
        <v>3332</v>
      </c>
      <c r="F774" s="67">
        <v>2</v>
      </c>
      <c r="G774" s="67" t="s">
        <v>568</v>
      </c>
      <c r="H774" s="69">
        <v>45223</v>
      </c>
      <c r="I774" s="69" t="s">
        <v>1086</v>
      </c>
      <c r="J774" s="69" t="s">
        <v>1220</v>
      </c>
      <c r="K774" s="67" t="s">
        <v>1924</v>
      </c>
      <c r="L774" s="67" t="s">
        <v>813</v>
      </c>
      <c r="M774" s="67" t="s">
        <v>693</v>
      </c>
      <c r="N774" s="67" t="s">
        <v>2194</v>
      </c>
      <c r="O774" s="83" t="str">
        <f t="shared" ca="1" si="45"/>
        <v>SI</v>
      </c>
      <c r="P774" s="83" t="str">
        <f t="shared" si="47"/>
        <v>DIANOSOL</v>
      </c>
      <c r="Q774" s="67" t="s">
        <v>904</v>
      </c>
      <c r="R774" s="67" t="str">
        <f>VLOOKUP($Q774,Resultados!$A$1:$B$49,2,FALSE)</f>
        <v>Juicio Abreviado</v>
      </c>
      <c r="S774" s="67" t="s">
        <v>1608</v>
      </c>
      <c r="T774" s="86" t="str">
        <f t="shared" si="46"/>
        <v>NO</v>
      </c>
      <c r="U774" s="86"/>
      <c r="V774" s="83"/>
      <c r="W774" s="67" t="s">
        <v>1003</v>
      </c>
      <c r="X774" s="67" t="s">
        <v>2568</v>
      </c>
      <c r="Y774" s="67"/>
      <c r="Z774" s="123" t="s">
        <v>3410</v>
      </c>
      <c r="AA774" s="341" t="s">
        <v>1168</v>
      </c>
      <c r="AB774" s="123" t="s">
        <v>1176</v>
      </c>
      <c r="AC774" s="365"/>
    </row>
    <row r="775" spans="1:29" ht="39.950000000000003" customHeight="1">
      <c r="A775" s="67">
        <v>804</v>
      </c>
      <c r="B775" s="69">
        <v>45210</v>
      </c>
      <c r="C775" s="74">
        <v>0.38472222222222219</v>
      </c>
      <c r="D775" s="67" t="s">
        <v>3379</v>
      </c>
      <c r="E775" s="68" t="s">
        <v>3380</v>
      </c>
      <c r="F775" s="67">
        <v>2</v>
      </c>
      <c r="G775" s="67" t="s">
        <v>2771</v>
      </c>
      <c r="H775" s="69">
        <v>45223</v>
      </c>
      <c r="I775" s="69" t="s">
        <v>1086</v>
      </c>
      <c r="J775" s="69" t="s">
        <v>1224</v>
      </c>
      <c r="K775" s="67">
        <f>IFERROR(VLOOKUP(J775,Jueces!$A$1:$B$11,2,FALSE),"")</f>
        <v>6</v>
      </c>
      <c r="L775" s="67" t="s">
        <v>812</v>
      </c>
      <c r="M775" s="67" t="s">
        <v>692</v>
      </c>
      <c r="N775" s="67" t="s">
        <v>621</v>
      </c>
      <c r="O775" s="83" t="str">
        <f t="shared" ca="1" si="45"/>
        <v>SI</v>
      </c>
      <c r="P775" s="83" t="str">
        <f t="shared" si="47"/>
        <v>DIANOSOL</v>
      </c>
      <c r="Q775" s="67" t="s">
        <v>151</v>
      </c>
      <c r="R775" s="67" t="str">
        <f>VLOOKUP($Q775,Resultados!$A$1:$B$49,2,FALSE)</f>
        <v>Prisión Preventiva</v>
      </c>
      <c r="S775" s="67" t="s">
        <v>2074</v>
      </c>
      <c r="T775" s="86" t="str">
        <f t="shared" si="46"/>
        <v>NO</v>
      </c>
      <c r="U775" s="86"/>
      <c r="V775" s="83"/>
      <c r="W775" s="67" t="s">
        <v>1577</v>
      </c>
      <c r="X775" s="67"/>
      <c r="Y775" s="67"/>
      <c r="Z775" s="123" t="s">
        <v>3473</v>
      </c>
      <c r="AA775" s="123" t="s">
        <v>3421</v>
      </c>
      <c r="AB775" s="123" t="s">
        <v>1173</v>
      </c>
      <c r="AC775" s="365"/>
    </row>
    <row r="776" spans="1:29" ht="39.950000000000003" customHeight="1">
      <c r="A776" s="67">
        <v>787</v>
      </c>
      <c r="B776" s="69">
        <v>45209</v>
      </c>
      <c r="C776" s="67" t="s">
        <v>1040</v>
      </c>
      <c r="D776" s="67" t="s">
        <v>3311</v>
      </c>
      <c r="E776" s="68" t="s">
        <v>3340</v>
      </c>
      <c r="F776" s="67">
        <v>2</v>
      </c>
      <c r="G776" s="67" t="s">
        <v>283</v>
      </c>
      <c r="H776" s="69">
        <v>45223</v>
      </c>
      <c r="I776" s="69" t="s">
        <v>1449</v>
      </c>
      <c r="J776" s="69" t="s">
        <v>31</v>
      </c>
      <c r="K776" s="67" t="s">
        <v>2301</v>
      </c>
      <c r="L776" s="67" t="s">
        <v>806</v>
      </c>
      <c r="M776" s="67" t="s">
        <v>692</v>
      </c>
      <c r="N776" s="67" t="s">
        <v>3589</v>
      </c>
      <c r="O776" s="83" t="str">
        <f t="shared" ca="1" si="45"/>
        <v>SI</v>
      </c>
      <c r="P776" s="83" t="str">
        <f t="shared" si="47"/>
        <v>DIANOSOL</v>
      </c>
      <c r="Q776" s="67" t="s">
        <v>905</v>
      </c>
      <c r="R776" s="67" t="str">
        <f>VLOOKUP($Q776,Resultados!$A$1:$B$49,2,FALSE)</f>
        <v>Juicio Abreviado</v>
      </c>
      <c r="S776" s="67" t="s">
        <v>3275</v>
      </c>
      <c r="T776" s="86" t="str">
        <f t="shared" si="46"/>
        <v>NO</v>
      </c>
      <c r="U776" s="86"/>
      <c r="V776" s="83"/>
      <c r="W776" s="67" t="s">
        <v>3590</v>
      </c>
      <c r="X776" s="67" t="s">
        <v>2568</v>
      </c>
      <c r="Y776" s="67"/>
      <c r="Z776" s="123" t="s">
        <v>2864</v>
      </c>
      <c r="AA776" s="123" t="s">
        <v>1170</v>
      </c>
      <c r="AB776" s="123" t="s">
        <v>1172</v>
      </c>
      <c r="AC776" s="365"/>
    </row>
    <row r="777" spans="1:29" ht="39.950000000000003" customHeight="1">
      <c r="A777" s="67">
        <v>786</v>
      </c>
      <c r="B777" s="69">
        <v>45209</v>
      </c>
      <c r="C777" s="67" t="s">
        <v>3309</v>
      </c>
      <c r="D777" s="67" t="s">
        <v>3310</v>
      </c>
      <c r="E777" s="68" t="s">
        <v>3343</v>
      </c>
      <c r="F777" s="67">
        <v>2</v>
      </c>
      <c r="G777" s="67" t="s">
        <v>1440</v>
      </c>
      <c r="H777" s="69">
        <v>45224</v>
      </c>
      <c r="I777" s="69" t="s">
        <v>73</v>
      </c>
      <c r="J777" s="69" t="s">
        <v>33</v>
      </c>
      <c r="K777" s="67">
        <f>IFERROR(VLOOKUP(J777,Jueces!$A$1:$B$11,2,FALSE),"")</f>
        <v>4</v>
      </c>
      <c r="L777" s="67" t="s">
        <v>806</v>
      </c>
      <c r="M777" s="67" t="s">
        <v>692</v>
      </c>
      <c r="N777" s="67" t="s">
        <v>3609</v>
      </c>
      <c r="O777" s="83" t="str">
        <f t="shared" ca="1" si="45"/>
        <v>SI</v>
      </c>
      <c r="P777" s="83" t="str">
        <f t="shared" si="47"/>
        <v>DIANOSOL</v>
      </c>
      <c r="Q777" s="67" t="s">
        <v>905</v>
      </c>
      <c r="R777" s="67" t="str">
        <f>VLOOKUP($Q777,Resultados!$A$1:$B$49,2,FALSE)</f>
        <v>Juicio Abreviado</v>
      </c>
      <c r="S777" s="67" t="s">
        <v>1008</v>
      </c>
      <c r="T777" s="86" t="str">
        <f t="shared" si="46"/>
        <v>SI</v>
      </c>
      <c r="U777" s="86"/>
      <c r="V777" s="83"/>
      <c r="W777" s="67" t="s">
        <v>1395</v>
      </c>
      <c r="X777" s="67" t="s">
        <v>2568</v>
      </c>
      <c r="Y777" s="67"/>
      <c r="Z777" s="123" t="s">
        <v>3410</v>
      </c>
      <c r="AA777" s="123" t="s">
        <v>1168</v>
      </c>
      <c r="AB777" s="123" t="s">
        <v>3297</v>
      </c>
      <c r="AC777" s="365"/>
    </row>
    <row r="778" spans="1:29" ht="39.950000000000003" customHeight="1">
      <c r="A778" s="67">
        <v>797</v>
      </c>
      <c r="B778" s="69"/>
      <c r="C778" s="67"/>
      <c r="D778" s="67" t="s">
        <v>3364</v>
      </c>
      <c r="E778" s="68" t="s">
        <v>3365</v>
      </c>
      <c r="F778" s="67">
        <v>5</v>
      </c>
      <c r="G778" s="67" t="s">
        <v>2771</v>
      </c>
      <c r="H778" s="69">
        <v>45224</v>
      </c>
      <c r="I778" s="69" t="s">
        <v>73</v>
      </c>
      <c r="J778" s="69" t="s">
        <v>31</v>
      </c>
      <c r="K778" s="67">
        <f>IFERROR(VLOOKUP(J778,Jueces!$A$1:$B$11,2,FALSE),"")</f>
        <v>2</v>
      </c>
      <c r="L778" s="67" t="s">
        <v>796</v>
      </c>
      <c r="M778" s="67" t="s">
        <v>3366</v>
      </c>
      <c r="N778" s="67" t="s">
        <v>3607</v>
      </c>
      <c r="O778" s="83" t="str">
        <f t="shared" ca="1" si="45"/>
        <v>SI</v>
      </c>
      <c r="P778" s="83" t="str">
        <f t="shared" si="47"/>
        <v>DIANOSOL</v>
      </c>
      <c r="Q778" s="67" t="s">
        <v>151</v>
      </c>
      <c r="R778" s="67" t="str">
        <f>VLOOKUP($Q778,Resultados!$A$1:$B$49,2,FALSE)</f>
        <v>Prisión Preventiva</v>
      </c>
      <c r="S778" s="67" t="s">
        <v>1009</v>
      </c>
      <c r="T778" s="86" t="str">
        <f t="shared" si="46"/>
        <v>NO</v>
      </c>
      <c r="U778" s="86"/>
      <c r="V778" s="83"/>
      <c r="W778" s="67" t="s">
        <v>1209</v>
      </c>
      <c r="X778" s="67" t="s">
        <v>3608</v>
      </c>
      <c r="Y778" s="67"/>
      <c r="Z778" s="123" t="s">
        <v>3473</v>
      </c>
      <c r="AA778" s="123" t="s">
        <v>2849</v>
      </c>
      <c r="AB778" s="123" t="s">
        <v>1174</v>
      </c>
      <c r="AC778" s="365"/>
    </row>
    <row r="779" spans="1:29" ht="39.950000000000003" customHeight="1">
      <c r="A779" s="67">
        <v>807</v>
      </c>
      <c r="B779" s="69">
        <v>45210</v>
      </c>
      <c r="C779" s="74">
        <v>0.3840277777777778</v>
      </c>
      <c r="D779" s="67" t="s">
        <v>3384</v>
      </c>
      <c r="E779" s="68" t="s">
        <v>3385</v>
      </c>
      <c r="F779" s="67">
        <v>1</v>
      </c>
      <c r="G779" s="67" t="s">
        <v>3362</v>
      </c>
      <c r="H779" s="69">
        <v>45224</v>
      </c>
      <c r="I779" s="69" t="s">
        <v>73</v>
      </c>
      <c r="J779" s="69" t="s">
        <v>78</v>
      </c>
      <c r="K779" s="67">
        <f>IFERROR(VLOOKUP(J779,Jueces!$A$1:$B$11,2,FALSE),"")</f>
        <v>8</v>
      </c>
      <c r="L779" s="67" t="s">
        <v>829</v>
      </c>
      <c r="M779" s="67" t="s">
        <v>1178</v>
      </c>
      <c r="N779" s="67" t="s">
        <v>3612</v>
      </c>
      <c r="O779" s="83" t="str">
        <f t="shared" ca="1" si="45"/>
        <v>SI</v>
      </c>
      <c r="P779" s="83" t="str">
        <f t="shared" si="47"/>
        <v>DIANOSOL</v>
      </c>
      <c r="Q779" s="67" t="s">
        <v>911</v>
      </c>
      <c r="R779" s="67" t="str">
        <f>VLOOKUP($Q779,Resultados!$A$1:$B$49,2,FALSE)</f>
        <v>Suspendida</v>
      </c>
      <c r="S779" s="67" t="s">
        <v>3613</v>
      </c>
      <c r="T779" s="86" t="str">
        <f t="shared" si="46"/>
        <v>NO</v>
      </c>
      <c r="U779" s="86"/>
      <c r="V779" s="83"/>
      <c r="W779" s="67" t="s">
        <v>989</v>
      </c>
      <c r="X779" s="67" t="s">
        <v>2153</v>
      </c>
      <c r="Y779" s="67"/>
      <c r="Z779" s="123" t="s">
        <v>748</v>
      </c>
      <c r="AA779" s="123" t="s">
        <v>3421</v>
      </c>
      <c r="AB779" s="123" t="s">
        <v>3361</v>
      </c>
      <c r="AC779" s="365"/>
    </row>
    <row r="780" spans="1:29" ht="39.950000000000003" customHeight="1">
      <c r="A780" s="67">
        <v>818</v>
      </c>
      <c r="B780" s="69">
        <v>45211</v>
      </c>
      <c r="C780" s="74">
        <v>0.54166666666666663</v>
      </c>
      <c r="D780" s="67" t="s">
        <v>3418</v>
      </c>
      <c r="E780" s="68" t="s">
        <v>3419</v>
      </c>
      <c r="F780" s="67">
        <v>1</v>
      </c>
      <c r="G780" s="67" t="s">
        <v>283</v>
      </c>
      <c r="H780" s="69">
        <v>45224</v>
      </c>
      <c r="I780" s="69" t="s">
        <v>1086</v>
      </c>
      <c r="J780" s="69" t="s">
        <v>1219</v>
      </c>
      <c r="K780" s="67">
        <f>IFERROR(VLOOKUP(J780,Jueces!$A$1:$B$11,2,FALSE),"")</f>
        <v>1</v>
      </c>
      <c r="L780" s="67" t="s">
        <v>811</v>
      </c>
      <c r="M780" s="67" t="s">
        <v>712</v>
      </c>
      <c r="N780" s="67" t="s">
        <v>3599</v>
      </c>
      <c r="O780" s="83" t="str">
        <f t="shared" ca="1" si="45"/>
        <v>SI</v>
      </c>
      <c r="P780" s="83" t="str">
        <f t="shared" si="47"/>
        <v>DIANOSOL</v>
      </c>
      <c r="Q780" s="67" t="s">
        <v>151</v>
      </c>
      <c r="R780" s="67" t="str">
        <f>VLOOKUP($Q780,Resultados!$A$1:$B$49,2,FALSE)</f>
        <v>Prisión Preventiva</v>
      </c>
      <c r="S780" s="67" t="s">
        <v>1006</v>
      </c>
      <c r="T780" s="86" t="str">
        <f t="shared" si="46"/>
        <v>NO</v>
      </c>
      <c r="U780" s="86"/>
      <c r="V780" s="83"/>
      <c r="W780" s="67" t="s">
        <v>1242</v>
      </c>
      <c r="X780" s="67" t="s">
        <v>3600</v>
      </c>
      <c r="Y780" s="67"/>
      <c r="Z780" s="123" t="s">
        <v>2864</v>
      </c>
      <c r="AA780" s="123" t="s">
        <v>3585</v>
      </c>
      <c r="AB780" s="123" t="s">
        <v>1173</v>
      </c>
      <c r="AC780" s="365"/>
    </row>
    <row r="781" spans="1:29" ht="39.950000000000003" customHeight="1">
      <c r="A781" s="67">
        <v>775</v>
      </c>
      <c r="B781" s="69">
        <v>45208</v>
      </c>
      <c r="C781" s="67" t="s">
        <v>3267</v>
      </c>
      <c r="D781" s="67" t="s">
        <v>3268</v>
      </c>
      <c r="E781" s="68" t="s">
        <v>3335</v>
      </c>
      <c r="F781" s="67">
        <v>2</v>
      </c>
      <c r="G781" s="67" t="s">
        <v>2835</v>
      </c>
      <c r="H781" s="69">
        <v>45224</v>
      </c>
      <c r="I781" s="69" t="s">
        <v>547</v>
      </c>
      <c r="J781" s="69" t="s">
        <v>33</v>
      </c>
      <c r="K781" s="67" t="s">
        <v>3493</v>
      </c>
      <c r="L781" s="67" t="s">
        <v>192</v>
      </c>
      <c r="M781" s="67" t="s">
        <v>3438</v>
      </c>
      <c r="N781" s="67" t="s">
        <v>3610</v>
      </c>
      <c r="O781" s="83" t="str">
        <f t="shared" ca="1" si="45"/>
        <v>SI</v>
      </c>
      <c r="P781" s="83" t="str">
        <f t="shared" si="47"/>
        <v>DIANOSOL</v>
      </c>
      <c r="Q781" s="67" t="s">
        <v>151</v>
      </c>
      <c r="R781" s="67" t="str">
        <f>VLOOKUP($Q781,Resultados!$A$1:$B$49,2,FALSE)</f>
        <v>Prisión Preventiva</v>
      </c>
      <c r="S781" s="67" t="s">
        <v>1403</v>
      </c>
      <c r="T781" s="86" t="str">
        <f t="shared" si="46"/>
        <v>NO</v>
      </c>
      <c r="U781" s="86"/>
      <c r="V781" s="83"/>
      <c r="W781" s="67" t="s">
        <v>3611</v>
      </c>
      <c r="X781" s="67"/>
      <c r="Y781" s="67"/>
      <c r="Z781" s="123" t="s">
        <v>3594</v>
      </c>
      <c r="AA781" s="123" t="s">
        <v>1170</v>
      </c>
      <c r="AB781" s="123" t="s">
        <v>1172</v>
      </c>
      <c r="AC781" s="365"/>
    </row>
    <row r="782" spans="1:29" ht="39.950000000000003" customHeight="1">
      <c r="A782" s="67">
        <v>785</v>
      </c>
      <c r="B782" s="69">
        <v>45209</v>
      </c>
      <c r="C782" s="67" t="s">
        <v>1273</v>
      </c>
      <c r="D782" s="67" t="s">
        <v>3307</v>
      </c>
      <c r="E782" s="68" t="s">
        <v>3395</v>
      </c>
      <c r="F782" s="67">
        <v>1</v>
      </c>
      <c r="G782" s="67" t="s">
        <v>283</v>
      </c>
      <c r="H782" s="69">
        <v>45225</v>
      </c>
      <c r="I782" s="69" t="s">
        <v>73</v>
      </c>
      <c r="J782" s="69" t="s">
        <v>2951</v>
      </c>
      <c r="K782" s="67" t="s">
        <v>1924</v>
      </c>
      <c r="L782" s="67" t="s">
        <v>811</v>
      </c>
      <c r="M782" s="67" t="s">
        <v>712</v>
      </c>
      <c r="N782" s="67" t="s">
        <v>3651</v>
      </c>
      <c r="O782" s="83" t="str">
        <f t="shared" ref="O782:O845" ca="1" si="48">IF(H782&lt;&gt;"",IF(H782&lt;=TODAY(),"SI","NO"),"LIMBO")</f>
        <v>SI</v>
      </c>
      <c r="P782" s="83" t="str">
        <f t="shared" si="47"/>
        <v>DIANOSOL</v>
      </c>
      <c r="Q782" s="67" t="s">
        <v>905</v>
      </c>
      <c r="R782" s="67" t="str">
        <f>VLOOKUP($Q782,Resultados!$A$1:$B$49,2,FALSE)</f>
        <v>Juicio Abreviado</v>
      </c>
      <c r="S782" s="67" t="s">
        <v>1137</v>
      </c>
      <c r="T782" s="86" t="str">
        <f t="shared" si="46"/>
        <v>NO</v>
      </c>
      <c r="U782" s="86"/>
      <c r="V782" s="83"/>
      <c r="W782" s="67" t="s">
        <v>1129</v>
      </c>
      <c r="X782" s="67" t="s">
        <v>2154</v>
      </c>
      <c r="Y782" s="67"/>
      <c r="Z782" s="123" t="s">
        <v>2864</v>
      </c>
      <c r="AA782" s="123" t="s">
        <v>3422</v>
      </c>
      <c r="AB782" s="123" t="s">
        <v>3297</v>
      </c>
      <c r="AC782" s="365"/>
    </row>
    <row r="783" spans="1:29" ht="39.950000000000003" customHeight="1">
      <c r="A783" s="67">
        <v>793</v>
      </c>
      <c r="B783" s="69">
        <v>45209</v>
      </c>
      <c r="C783" s="74">
        <v>0.38819444444444445</v>
      </c>
      <c r="D783" s="67" t="s">
        <v>3321</v>
      </c>
      <c r="E783" s="68" t="s">
        <v>3322</v>
      </c>
      <c r="F783" s="67">
        <v>1</v>
      </c>
      <c r="G783" s="67" t="s">
        <v>1442</v>
      </c>
      <c r="H783" s="69">
        <v>45225</v>
      </c>
      <c r="I783" s="69" t="s">
        <v>73</v>
      </c>
      <c r="J783" s="69" t="s">
        <v>78</v>
      </c>
      <c r="K783" s="67">
        <f>IFERROR(VLOOKUP(J783,Jueces!$A$1:$B$11,2,FALSE),"")</f>
        <v>8</v>
      </c>
      <c r="L783" s="67" t="s">
        <v>801</v>
      </c>
      <c r="M783" s="67" t="s">
        <v>692</v>
      </c>
      <c r="N783" s="67" t="s">
        <v>3095</v>
      </c>
      <c r="O783" s="83" t="str">
        <f t="shared" ca="1" si="48"/>
        <v>SI</v>
      </c>
      <c r="P783" s="83" t="str">
        <f t="shared" si="47"/>
        <v>DIANOSOL</v>
      </c>
      <c r="Q783" s="67" t="s">
        <v>904</v>
      </c>
      <c r="R783" s="67" t="s">
        <v>100</v>
      </c>
      <c r="S783" s="67" t="s">
        <v>1128</v>
      </c>
      <c r="T783" s="86" t="str">
        <f t="shared" si="46"/>
        <v>NO</v>
      </c>
      <c r="U783" s="86"/>
      <c r="V783" s="83"/>
      <c r="W783" s="67" t="s">
        <v>1006</v>
      </c>
      <c r="X783" s="67" t="s">
        <v>2568</v>
      </c>
      <c r="Y783" s="67"/>
      <c r="Z783" s="123" t="s">
        <v>748</v>
      </c>
      <c r="AA783" s="123" t="s">
        <v>1170</v>
      </c>
      <c r="AB783" s="123" t="s">
        <v>1174</v>
      </c>
      <c r="AC783" s="365"/>
    </row>
    <row r="784" spans="1:29" ht="39.950000000000003" customHeight="1">
      <c r="A784" s="67">
        <v>814</v>
      </c>
      <c r="B784" s="69"/>
      <c r="C784" s="67"/>
      <c r="D784" s="362" t="s">
        <v>2925</v>
      </c>
      <c r="E784" s="68" t="s">
        <v>2877</v>
      </c>
      <c r="F784" s="67">
        <v>1</v>
      </c>
      <c r="G784" s="67" t="s">
        <v>1440</v>
      </c>
      <c r="H784" s="69">
        <v>45225</v>
      </c>
      <c r="I784" s="69" t="s">
        <v>749</v>
      </c>
      <c r="J784" s="69" t="s">
        <v>1224</v>
      </c>
      <c r="K784" s="67">
        <f>IFERROR(VLOOKUP(J784,Jueces!$A$1:$B$11,2,FALSE),"")</f>
        <v>6</v>
      </c>
      <c r="L784" s="67" t="s">
        <v>569</v>
      </c>
      <c r="M784" s="67" t="s">
        <v>1087</v>
      </c>
      <c r="N784" s="374" t="s">
        <v>2566</v>
      </c>
      <c r="O784" s="83" t="str">
        <f t="shared" ca="1" si="48"/>
        <v>SI</v>
      </c>
      <c r="P784" s="83" t="str">
        <f t="shared" si="47"/>
        <v>DIANOSOL</v>
      </c>
      <c r="Q784" s="67" t="s">
        <v>899</v>
      </c>
      <c r="R784" s="67" t="str">
        <f>VLOOKUP($Q784,Resultados!$A$1:$B$49,2,FALSE)</f>
        <v>Libertad</v>
      </c>
      <c r="S784" s="67" t="s">
        <v>2809</v>
      </c>
      <c r="T784" s="86" t="str">
        <f t="shared" si="46"/>
        <v>SI</v>
      </c>
      <c r="U784" s="86"/>
      <c r="V784" s="83"/>
      <c r="W784" s="67" t="s">
        <v>1122</v>
      </c>
      <c r="X784" s="67"/>
      <c r="Y784" s="67"/>
      <c r="Z784" s="123" t="s">
        <v>770</v>
      </c>
      <c r="AA784" s="123"/>
      <c r="AB784" s="123" t="s">
        <v>3361</v>
      </c>
      <c r="AC784" s="365" t="s">
        <v>1799</v>
      </c>
    </row>
    <row r="785" spans="1:29" ht="39.950000000000003" customHeight="1">
      <c r="A785" s="67">
        <v>788</v>
      </c>
      <c r="B785" s="69">
        <v>45209</v>
      </c>
      <c r="C785" s="74">
        <v>0.52361111111111114</v>
      </c>
      <c r="D785" s="67" t="s">
        <v>3315</v>
      </c>
      <c r="E785" s="68" t="s">
        <v>3341</v>
      </c>
      <c r="F785" s="67">
        <v>2</v>
      </c>
      <c r="G785" s="67" t="s">
        <v>3362</v>
      </c>
      <c r="H785" s="69">
        <v>45225</v>
      </c>
      <c r="I785" s="69" t="s">
        <v>1086</v>
      </c>
      <c r="J785" s="69" t="s">
        <v>33</v>
      </c>
      <c r="K785" s="67">
        <f>IFERROR(VLOOKUP(J785,Jueces!$A$1:$B$11,2,FALSE),"")</f>
        <v>4</v>
      </c>
      <c r="L785" s="67" t="s">
        <v>811</v>
      </c>
      <c r="M785" s="67" t="s">
        <v>692</v>
      </c>
      <c r="N785" s="67" t="s">
        <v>3653</v>
      </c>
      <c r="O785" s="83" t="str">
        <f t="shared" ca="1" si="48"/>
        <v>SI</v>
      </c>
      <c r="P785" s="83" t="str">
        <f t="shared" si="47"/>
        <v>DIANOSOL</v>
      </c>
      <c r="Q785" s="67" t="s">
        <v>904</v>
      </c>
      <c r="R785" s="67" t="str">
        <f>VLOOKUP($Q785,Resultados!$A$1:$B$49,2,FALSE)</f>
        <v>Juicio Abreviado</v>
      </c>
      <c r="S785" s="67" t="s">
        <v>1229</v>
      </c>
      <c r="T785" s="86" t="str">
        <f t="shared" si="46"/>
        <v>NO</v>
      </c>
      <c r="U785" s="86"/>
      <c r="V785" s="83"/>
      <c r="W785" s="67" t="s">
        <v>1464</v>
      </c>
      <c r="X785" s="67" t="s">
        <v>3193</v>
      </c>
      <c r="Y785" s="67"/>
      <c r="Z785" s="123" t="s">
        <v>3410</v>
      </c>
      <c r="AA785" s="123" t="s">
        <v>2892</v>
      </c>
      <c r="AB785" s="123" t="s">
        <v>1173</v>
      </c>
      <c r="AC785" s="365"/>
    </row>
    <row r="786" spans="1:29" ht="39.950000000000003" customHeight="1">
      <c r="A786" s="67">
        <v>820</v>
      </c>
      <c r="B786" s="69">
        <v>45216</v>
      </c>
      <c r="C786" s="74">
        <v>0.50972222222222219</v>
      </c>
      <c r="D786" s="362" t="s">
        <v>3426</v>
      </c>
      <c r="E786" s="68" t="s">
        <v>3427</v>
      </c>
      <c r="F786" s="67">
        <v>5</v>
      </c>
      <c r="G786" s="67" t="s">
        <v>2771</v>
      </c>
      <c r="H786" s="69">
        <v>45225</v>
      </c>
      <c r="I786" s="69" t="s">
        <v>1086</v>
      </c>
      <c r="J786" s="69" t="s">
        <v>78</v>
      </c>
      <c r="K786" s="67">
        <f>IFERROR(VLOOKUP(J786,Jueces!$A$1:$B$11,2,FALSE),"")</f>
        <v>8</v>
      </c>
      <c r="L786" s="67" t="s">
        <v>582</v>
      </c>
      <c r="M786" s="67" t="s">
        <v>3428</v>
      </c>
      <c r="N786" s="67" t="s">
        <v>3652</v>
      </c>
      <c r="O786" s="83" t="str">
        <f t="shared" ca="1" si="48"/>
        <v>SI</v>
      </c>
      <c r="P786" s="83" t="str">
        <f t="shared" si="47"/>
        <v>DIANOSOL</v>
      </c>
      <c r="Q786" s="67" t="s">
        <v>905</v>
      </c>
      <c r="R786" s="67" t="str">
        <f>VLOOKUP($Q786,Resultados!$A$1:$B$49,2,FALSE)</f>
        <v>Juicio Abreviado</v>
      </c>
      <c r="S786" s="67" t="s">
        <v>1188</v>
      </c>
      <c r="T786" s="86" t="str">
        <f t="shared" si="46"/>
        <v>NO</v>
      </c>
      <c r="U786" s="86"/>
      <c r="V786" s="83"/>
      <c r="W786" s="67" t="s">
        <v>1563</v>
      </c>
      <c r="X786" s="67" t="s">
        <v>3193</v>
      </c>
      <c r="Y786" s="67"/>
      <c r="Z786" s="123" t="s">
        <v>748</v>
      </c>
      <c r="AA786" s="123"/>
      <c r="AB786" s="123" t="s">
        <v>1172</v>
      </c>
      <c r="AC786" s="365" t="s">
        <v>1799</v>
      </c>
    </row>
    <row r="787" spans="1:29" ht="39.950000000000003" customHeight="1">
      <c r="A787" s="67">
        <v>800</v>
      </c>
      <c r="B787" s="69" t="s">
        <v>3370</v>
      </c>
      <c r="C787" s="74">
        <v>0.51597222222222217</v>
      </c>
      <c r="D787" s="362" t="s">
        <v>3371</v>
      </c>
      <c r="E787" s="68" t="s">
        <v>3378</v>
      </c>
      <c r="F787" s="67">
        <v>1</v>
      </c>
      <c r="G787" s="67" t="s">
        <v>1441</v>
      </c>
      <c r="H787" s="69">
        <v>45225</v>
      </c>
      <c r="I787" s="69" t="s">
        <v>228</v>
      </c>
      <c r="J787" s="69" t="s">
        <v>31</v>
      </c>
      <c r="K787" s="67">
        <f>IFERROR(VLOOKUP(J787,Jueces!$A$1:$B$11,2,FALSE),"")</f>
        <v>2</v>
      </c>
      <c r="L787" s="67" t="s">
        <v>582</v>
      </c>
      <c r="M787" s="67" t="s">
        <v>783</v>
      </c>
      <c r="N787" s="67" t="s">
        <v>3654</v>
      </c>
      <c r="O787" s="83" t="str">
        <f t="shared" ca="1" si="48"/>
        <v>SI</v>
      </c>
      <c r="P787" s="83" t="str">
        <f t="shared" si="47"/>
        <v>DIANOSOL</v>
      </c>
      <c r="Q787" s="67" t="s">
        <v>904</v>
      </c>
      <c r="R787" s="67" t="str">
        <f>VLOOKUP($Q787,Resultados!$A$1:$B$49,2,FALSE)</f>
        <v>Juicio Abreviado</v>
      </c>
      <c r="S787" s="67" t="s">
        <v>2758</v>
      </c>
      <c r="T787" s="86" t="str">
        <f t="shared" si="46"/>
        <v>NO</v>
      </c>
      <c r="U787" s="86"/>
      <c r="V787" s="83"/>
      <c r="W787" s="67" t="s">
        <v>3655</v>
      </c>
      <c r="X787" s="67" t="s">
        <v>3254</v>
      </c>
      <c r="Y787" s="67"/>
      <c r="Z787" s="123" t="s">
        <v>2864</v>
      </c>
      <c r="AA787" s="123"/>
      <c r="AB787" s="123" t="s">
        <v>3297</v>
      </c>
      <c r="AC787" s="365" t="s">
        <v>1799</v>
      </c>
    </row>
    <row r="788" spans="1:29" ht="39.950000000000003" customHeight="1">
      <c r="A788" s="67">
        <v>803</v>
      </c>
      <c r="B788" s="69">
        <v>45209</v>
      </c>
      <c r="C788" s="74">
        <v>0.4458333333333333</v>
      </c>
      <c r="D788" s="67" t="s">
        <v>3376</v>
      </c>
      <c r="E788" s="68" t="s">
        <v>3377</v>
      </c>
      <c r="F788" s="67">
        <v>1</v>
      </c>
      <c r="G788" s="67" t="s">
        <v>1442</v>
      </c>
      <c r="H788" s="69">
        <v>45226</v>
      </c>
      <c r="I788" s="69" t="s">
        <v>73</v>
      </c>
      <c r="J788" s="69" t="s">
        <v>2948</v>
      </c>
      <c r="K788" s="67" t="s">
        <v>1924</v>
      </c>
      <c r="L788" s="67" t="s">
        <v>793</v>
      </c>
      <c r="M788" s="67" t="s">
        <v>692</v>
      </c>
      <c r="N788" s="67" t="s">
        <v>3673</v>
      </c>
      <c r="O788" s="67" t="str">
        <f t="shared" ca="1" si="48"/>
        <v>SI</v>
      </c>
      <c r="P788" s="67" t="str">
        <f t="shared" si="47"/>
        <v>DIANOSOL</v>
      </c>
      <c r="Q788" s="67" t="s">
        <v>904</v>
      </c>
      <c r="R788" s="67" t="str">
        <f>VLOOKUP($Q788,Resultados!$A$1:$B$49,2,FALSE)</f>
        <v>Juicio Abreviado</v>
      </c>
      <c r="S788" s="67" t="s">
        <v>1611</v>
      </c>
      <c r="T788" s="77" t="str">
        <f t="shared" si="46"/>
        <v>NO</v>
      </c>
      <c r="U788" s="77"/>
      <c r="V788" s="67"/>
      <c r="W788" s="67" t="s">
        <v>2058</v>
      </c>
      <c r="X788" s="67" t="s">
        <v>2568</v>
      </c>
      <c r="Y788" s="67"/>
      <c r="Z788" s="123" t="s">
        <v>2864</v>
      </c>
      <c r="AA788" s="123" t="s">
        <v>1170</v>
      </c>
      <c r="AB788" s="123" t="s">
        <v>1174</v>
      </c>
      <c r="AC788" s="365"/>
    </row>
    <row r="789" spans="1:29" ht="39.950000000000003" customHeight="1">
      <c r="A789" s="67">
        <v>799</v>
      </c>
      <c r="B789" s="69">
        <v>45210</v>
      </c>
      <c r="C789" s="74">
        <v>0.51874999999999993</v>
      </c>
      <c r="D789" s="67" t="s">
        <v>3369</v>
      </c>
      <c r="E789" s="68" t="s">
        <v>3372</v>
      </c>
      <c r="F789" s="67">
        <v>1</v>
      </c>
      <c r="G789" s="67" t="s">
        <v>1440</v>
      </c>
      <c r="H789" s="69">
        <v>45226</v>
      </c>
      <c r="I789" s="69" t="s">
        <v>749</v>
      </c>
      <c r="J789" s="69" t="s">
        <v>2951</v>
      </c>
      <c r="K789" s="67" t="s">
        <v>2391</v>
      </c>
      <c r="L789" s="67" t="s">
        <v>582</v>
      </c>
      <c r="M789" s="67" t="s">
        <v>783</v>
      </c>
      <c r="N789" s="213" t="s">
        <v>3672</v>
      </c>
      <c r="O789" s="67" t="str">
        <f t="shared" ca="1" si="48"/>
        <v>SI</v>
      </c>
      <c r="P789" s="67" t="str">
        <f t="shared" si="47"/>
        <v>DIANOSOL</v>
      </c>
      <c r="Q789" s="67" t="s">
        <v>904</v>
      </c>
      <c r="R789" s="67" t="str">
        <f>VLOOKUP($Q789,Resultados!$A$1:$B$49,2,FALSE)</f>
        <v>Juicio Abreviado</v>
      </c>
      <c r="S789" s="67" t="s">
        <v>1583</v>
      </c>
      <c r="T789" s="77" t="str">
        <f t="shared" ref="T789:T852" si="49">IF(G789=$J$1,"SI","NO")</f>
        <v>SI</v>
      </c>
      <c r="U789" s="77"/>
      <c r="V789" s="67"/>
      <c r="W789" s="67" t="s">
        <v>3132</v>
      </c>
      <c r="X789" s="67"/>
      <c r="Y789" s="67"/>
      <c r="Z789" s="123" t="s">
        <v>748</v>
      </c>
      <c r="AA789" s="123"/>
      <c r="AB789" s="123" t="s">
        <v>3361</v>
      </c>
      <c r="AC789" s="365"/>
    </row>
    <row r="790" spans="1:29" ht="39.950000000000003" customHeight="1">
      <c r="A790" s="67">
        <v>791</v>
      </c>
      <c r="B790" s="69">
        <v>45209</v>
      </c>
      <c r="C790" s="74">
        <v>0.44861111111111113</v>
      </c>
      <c r="D790" s="67" t="s">
        <v>3318</v>
      </c>
      <c r="E790" s="68" t="s">
        <v>1195</v>
      </c>
      <c r="F790" s="67">
        <v>2</v>
      </c>
      <c r="G790" s="67" t="s">
        <v>3362</v>
      </c>
      <c r="H790" s="69">
        <v>45226</v>
      </c>
      <c r="I790" s="69" t="s">
        <v>1086</v>
      </c>
      <c r="J790" s="69" t="s">
        <v>78</v>
      </c>
      <c r="K790" s="67">
        <v>8</v>
      </c>
      <c r="L790" s="67" t="s">
        <v>801</v>
      </c>
      <c r="M790" s="67" t="s">
        <v>692</v>
      </c>
      <c r="N790" s="67" t="s">
        <v>3678</v>
      </c>
      <c r="O790" s="67" t="str">
        <f t="shared" ca="1" si="48"/>
        <v>SI</v>
      </c>
      <c r="P790" s="67" t="str">
        <f t="shared" si="47"/>
        <v>DIANOSOL</v>
      </c>
      <c r="Q790" s="67" t="s">
        <v>904</v>
      </c>
      <c r="R790" s="67" t="str">
        <f>VLOOKUP($Q790,Resultados!$A$1:$B$49,2,FALSE)</f>
        <v>Juicio Abreviado</v>
      </c>
      <c r="S790" s="67" t="s">
        <v>1009</v>
      </c>
      <c r="T790" s="77" t="str">
        <f t="shared" si="49"/>
        <v>NO</v>
      </c>
      <c r="U790" s="77"/>
      <c r="V790" s="67"/>
      <c r="W790" s="67" t="s">
        <v>1569</v>
      </c>
      <c r="X790" s="67" t="s">
        <v>2568</v>
      </c>
      <c r="Y790" s="67"/>
      <c r="Z790" s="123" t="s">
        <v>770</v>
      </c>
      <c r="AA790" s="123" t="s">
        <v>2892</v>
      </c>
      <c r="AB790" s="123" t="s">
        <v>1176</v>
      </c>
      <c r="AC790" s="365"/>
    </row>
    <row r="791" spans="1:29" ht="39.950000000000003" customHeight="1">
      <c r="A791" s="67">
        <v>795</v>
      </c>
      <c r="B791" s="69">
        <v>45210</v>
      </c>
      <c r="C791" s="74">
        <v>0.36249999999999999</v>
      </c>
      <c r="D791" s="67" t="s">
        <v>3329</v>
      </c>
      <c r="E791" s="68" t="s">
        <v>3330</v>
      </c>
      <c r="F791" s="67">
        <v>1</v>
      </c>
      <c r="G791" s="67" t="s">
        <v>283</v>
      </c>
      <c r="H791" s="69">
        <v>45226</v>
      </c>
      <c r="I791" s="69" t="s">
        <v>1086</v>
      </c>
      <c r="J791" s="69" t="s">
        <v>1220</v>
      </c>
      <c r="K791" s="67" t="s">
        <v>1924</v>
      </c>
      <c r="L791" s="67" t="s">
        <v>508</v>
      </c>
      <c r="M791" s="67" t="s">
        <v>711</v>
      </c>
      <c r="N791" s="67" t="s">
        <v>3398</v>
      </c>
      <c r="O791" s="67" t="str">
        <f t="shared" ca="1" si="48"/>
        <v>SI</v>
      </c>
      <c r="P791" s="67" t="str">
        <f t="shared" si="47"/>
        <v>DIANOSOL</v>
      </c>
      <c r="Q791" s="67" t="s">
        <v>905</v>
      </c>
      <c r="R791" s="67" t="str">
        <f>VLOOKUP($Q791,Resultados!$A$1:$B$49,2,FALSE)</f>
        <v>Juicio Abreviado</v>
      </c>
      <c r="S791" s="67" t="s">
        <v>2681</v>
      </c>
      <c r="T791" s="77" t="str">
        <f t="shared" si="49"/>
        <v>NO</v>
      </c>
      <c r="U791" s="77"/>
      <c r="V791" s="67"/>
      <c r="W791" s="67" t="s">
        <v>3679</v>
      </c>
      <c r="X791" s="67" t="s">
        <v>3193</v>
      </c>
      <c r="Y791" s="67"/>
      <c r="Z791" s="123" t="s">
        <v>2864</v>
      </c>
      <c r="AA791" s="123" t="s">
        <v>2849</v>
      </c>
      <c r="AB791" s="123" t="s">
        <v>1173</v>
      </c>
      <c r="AC791" s="365"/>
    </row>
    <row r="792" spans="1:29" ht="39.950000000000003" customHeight="1">
      <c r="A792" s="67">
        <v>806</v>
      </c>
      <c r="B792" s="69">
        <v>45210</v>
      </c>
      <c r="C792" s="74">
        <v>0.38819444444444445</v>
      </c>
      <c r="D792" s="67" t="s">
        <v>3382</v>
      </c>
      <c r="E792" s="68" t="s">
        <v>3383</v>
      </c>
      <c r="F792" s="67">
        <v>1</v>
      </c>
      <c r="G792" s="67" t="s">
        <v>568</v>
      </c>
      <c r="H792" s="69">
        <v>45226</v>
      </c>
      <c r="I792" s="69" t="s">
        <v>1086</v>
      </c>
      <c r="J792" s="69" t="s">
        <v>31</v>
      </c>
      <c r="K792" s="67">
        <f>IFERROR(VLOOKUP(J792,Jueces!$A$1:$B$11,2,FALSE),"")</f>
        <v>2</v>
      </c>
      <c r="L792" s="67" t="s">
        <v>582</v>
      </c>
      <c r="M792" s="67" t="s">
        <v>712</v>
      </c>
      <c r="N792" s="107" t="s">
        <v>3674</v>
      </c>
      <c r="O792" s="67" t="str">
        <f t="shared" ca="1" si="48"/>
        <v>SI</v>
      </c>
      <c r="P792" s="67" t="str">
        <f t="shared" si="47"/>
        <v>DIANOSOL</v>
      </c>
      <c r="Q792" s="67" t="s">
        <v>904</v>
      </c>
      <c r="R792" s="67" t="str">
        <f>VLOOKUP($Q792,Resultados!$A$1:$B$49,2,FALSE)</f>
        <v>Juicio Abreviado</v>
      </c>
      <c r="S792" s="67" t="s">
        <v>2961</v>
      </c>
      <c r="T792" s="77" t="str">
        <f t="shared" si="49"/>
        <v>NO</v>
      </c>
      <c r="U792" s="77"/>
      <c r="V792" s="67"/>
      <c r="W792" s="67" t="s">
        <v>75</v>
      </c>
      <c r="X792" s="67" t="s">
        <v>3675</v>
      </c>
      <c r="Y792" s="67"/>
      <c r="Z792" s="123" t="s">
        <v>748</v>
      </c>
      <c r="AA792" s="123"/>
      <c r="AB792" s="123" t="s">
        <v>1172</v>
      </c>
      <c r="AC792" s="365"/>
    </row>
    <row r="793" spans="1:29" ht="39.950000000000003" customHeight="1">
      <c r="A793" s="67">
        <v>811</v>
      </c>
      <c r="B793" s="69">
        <v>45211</v>
      </c>
      <c r="C793" s="67" t="s">
        <v>1234</v>
      </c>
      <c r="D793" s="67" t="s">
        <v>3393</v>
      </c>
      <c r="E793" s="68" t="s">
        <v>3396</v>
      </c>
      <c r="F793" s="67">
        <v>1</v>
      </c>
      <c r="G793" s="67" t="s">
        <v>1441</v>
      </c>
      <c r="H793" s="69">
        <v>45226</v>
      </c>
      <c r="I793" s="69" t="s">
        <v>1209</v>
      </c>
      <c r="J793" s="69" t="s">
        <v>33</v>
      </c>
      <c r="K793" s="67">
        <f>IFERROR(VLOOKUP(J793,Jueces!$A$1:$B$11,2,FALSE),"")</f>
        <v>4</v>
      </c>
      <c r="L793" s="67" t="s">
        <v>812</v>
      </c>
      <c r="M793" s="67" t="s">
        <v>1178</v>
      </c>
      <c r="N793" s="67" t="s">
        <v>577</v>
      </c>
      <c r="O793" s="67" t="str">
        <f t="shared" ca="1" si="48"/>
        <v>SI</v>
      </c>
      <c r="P793" s="67" t="str">
        <f t="shared" si="47"/>
        <v>DIANOSOL</v>
      </c>
      <c r="Q793" s="67" t="s">
        <v>151</v>
      </c>
      <c r="R793" s="67" t="str">
        <f>VLOOKUP($Q793,Resultados!$A$1:$B$49,2,FALSE)</f>
        <v>Prisión Preventiva</v>
      </c>
      <c r="S793" s="67" t="s">
        <v>1336</v>
      </c>
      <c r="T793" s="77" t="str">
        <f t="shared" si="49"/>
        <v>NO</v>
      </c>
      <c r="U793" s="77"/>
      <c r="V793" s="67"/>
      <c r="W793" s="67" t="s">
        <v>2682</v>
      </c>
      <c r="X793" s="67" t="s">
        <v>2568</v>
      </c>
      <c r="Y793" s="67"/>
      <c r="Z793" s="123" t="s">
        <v>3410</v>
      </c>
      <c r="AA793" s="123" t="s">
        <v>3421</v>
      </c>
      <c r="AB793" s="123" t="s">
        <v>3297</v>
      </c>
      <c r="AC793" s="365"/>
    </row>
    <row r="794" spans="1:29" ht="39.950000000000003" customHeight="1">
      <c r="A794" s="67">
        <v>869</v>
      </c>
      <c r="B794" s="69">
        <v>45222</v>
      </c>
      <c r="C794" s="74">
        <v>0.50555555555555554</v>
      </c>
      <c r="D794" s="67" t="s">
        <v>3576</v>
      </c>
      <c r="E794" s="68" t="s">
        <v>3578</v>
      </c>
      <c r="F794" s="67">
        <v>2</v>
      </c>
      <c r="G794" s="67" t="s">
        <v>2771</v>
      </c>
      <c r="H794" s="69">
        <v>45226</v>
      </c>
      <c r="I794" s="69" t="s">
        <v>75</v>
      </c>
      <c r="J794" s="69" t="s">
        <v>31</v>
      </c>
      <c r="K794" s="67">
        <f>IFERROR(VLOOKUP(J794,Jueces!$A$1:$B$11,2,FALSE),"")</f>
        <v>2</v>
      </c>
      <c r="L794" s="67" t="s">
        <v>813</v>
      </c>
      <c r="M794" s="67" t="s">
        <v>692</v>
      </c>
      <c r="N794" s="67" t="s">
        <v>3681</v>
      </c>
      <c r="O794" s="67" t="str">
        <f t="shared" ca="1" si="48"/>
        <v>SI</v>
      </c>
      <c r="P794" s="67" t="str">
        <f t="shared" si="47"/>
        <v>DIANOSOL</v>
      </c>
      <c r="Q794" s="67" t="s">
        <v>909</v>
      </c>
      <c r="R794" s="67" t="s">
        <v>909</v>
      </c>
      <c r="S794" s="67" t="s">
        <v>3680</v>
      </c>
      <c r="T794" s="77" t="str">
        <f t="shared" si="49"/>
        <v>NO</v>
      </c>
      <c r="U794" s="77"/>
      <c r="V794" s="67"/>
      <c r="W794" s="67" t="s">
        <v>2343</v>
      </c>
      <c r="X794" s="67" t="s">
        <v>2568</v>
      </c>
      <c r="Y794" s="67"/>
      <c r="Z794" s="123" t="s">
        <v>770</v>
      </c>
      <c r="AA794" s="123" t="s">
        <v>1170</v>
      </c>
      <c r="AB794" s="123" t="s">
        <v>1174</v>
      </c>
      <c r="AC794" s="365"/>
    </row>
    <row r="795" spans="1:29" ht="39.950000000000003" customHeight="1">
      <c r="A795" s="67">
        <v>817</v>
      </c>
      <c r="B795" s="69">
        <v>45211</v>
      </c>
      <c r="C795" s="74">
        <v>0.55069444444444449</v>
      </c>
      <c r="D795" s="67" t="s">
        <v>3416</v>
      </c>
      <c r="E795" s="68" t="s">
        <v>3417</v>
      </c>
      <c r="F795" s="67">
        <v>1</v>
      </c>
      <c r="G795" s="67" t="s">
        <v>3363</v>
      </c>
      <c r="H795" s="69">
        <v>45226</v>
      </c>
      <c r="I795" s="69" t="s">
        <v>547</v>
      </c>
      <c r="J795" s="69" t="s">
        <v>1219</v>
      </c>
      <c r="K795" s="67" t="s">
        <v>1924</v>
      </c>
      <c r="L795" s="67" t="s">
        <v>812</v>
      </c>
      <c r="M795" s="67" t="s">
        <v>712</v>
      </c>
      <c r="N795" s="67" t="s">
        <v>3676</v>
      </c>
      <c r="O795" s="67" t="str">
        <f t="shared" ca="1" si="48"/>
        <v>SI</v>
      </c>
      <c r="P795" s="67" t="str">
        <f t="shared" si="47"/>
        <v>DIANOSOL</v>
      </c>
      <c r="Q795" s="67" t="s">
        <v>151</v>
      </c>
      <c r="R795" s="67" t="str">
        <f>VLOOKUP($Q795,Resultados!$A$1:$B$49,2,FALSE)</f>
        <v>Prisión Preventiva</v>
      </c>
      <c r="S795" s="67" t="s">
        <v>1803</v>
      </c>
      <c r="T795" s="77" t="str">
        <f t="shared" si="49"/>
        <v>NO</v>
      </c>
      <c r="U795" s="77"/>
      <c r="V795" s="67"/>
      <c r="W795" s="67" t="s">
        <v>3677</v>
      </c>
      <c r="X795" s="67" t="s">
        <v>2568</v>
      </c>
      <c r="Y795" s="67"/>
      <c r="Z795" s="123" t="s">
        <v>2864</v>
      </c>
      <c r="AA795" s="123" t="s">
        <v>3422</v>
      </c>
      <c r="AB795" s="123" t="s">
        <v>3361</v>
      </c>
      <c r="AC795" s="365"/>
    </row>
    <row r="796" spans="1:29" ht="39.950000000000003" customHeight="1">
      <c r="A796" s="67">
        <v>790</v>
      </c>
      <c r="B796" s="69">
        <v>45209</v>
      </c>
      <c r="C796" s="74">
        <v>0.52361111111111114</v>
      </c>
      <c r="D796" s="67" t="s">
        <v>3342</v>
      </c>
      <c r="E796" s="68" t="s">
        <v>3317</v>
      </c>
      <c r="F796" s="67">
        <v>2</v>
      </c>
      <c r="G796" s="67" t="s">
        <v>3362</v>
      </c>
      <c r="H796" s="69">
        <v>45229</v>
      </c>
      <c r="I796" s="69" t="s">
        <v>73</v>
      </c>
      <c r="J796" s="69" t="s">
        <v>78</v>
      </c>
      <c r="K796" s="67">
        <f>IFERROR(VLOOKUP(J796,Jueces!$A$1:$B$11,2,FALSE),"")</f>
        <v>8</v>
      </c>
      <c r="L796" s="67" t="s">
        <v>810</v>
      </c>
      <c r="M796" s="376" t="s">
        <v>1415</v>
      </c>
      <c r="N796" s="67" t="s">
        <v>3686</v>
      </c>
      <c r="O796" s="83" t="str">
        <f t="shared" ca="1" si="48"/>
        <v>SI</v>
      </c>
      <c r="P796" s="83" t="str">
        <f t="shared" si="47"/>
        <v>DIANOSOL</v>
      </c>
      <c r="Q796" s="67" t="s">
        <v>899</v>
      </c>
      <c r="R796" s="67" t="str">
        <f>VLOOKUP($Q796,Resultados!$A$1:$B$49,2,FALSE)</f>
        <v>Libertad</v>
      </c>
      <c r="S796" s="74">
        <v>0.37152777777777773</v>
      </c>
      <c r="T796" s="86" t="str">
        <f t="shared" si="49"/>
        <v>NO</v>
      </c>
      <c r="U796" s="86"/>
      <c r="V796" s="83"/>
      <c r="W796" s="67" t="s">
        <v>1050</v>
      </c>
      <c r="X796" s="67"/>
      <c r="Y796" s="67"/>
      <c r="Z796" s="123" t="s">
        <v>748</v>
      </c>
      <c r="AA796" s="123" t="s">
        <v>3422</v>
      </c>
      <c r="AB796" s="123" t="s">
        <v>1173</v>
      </c>
      <c r="AC796" s="365"/>
    </row>
    <row r="797" spans="1:29" ht="39.950000000000003" customHeight="1">
      <c r="A797" s="67">
        <v>801</v>
      </c>
      <c r="B797" s="69">
        <v>45241</v>
      </c>
      <c r="C797" s="74">
        <v>0.49652777777777773</v>
      </c>
      <c r="D797" s="362" t="s">
        <v>3373</v>
      </c>
      <c r="E797" s="68" t="s">
        <v>3374</v>
      </c>
      <c r="F797" s="67">
        <v>4</v>
      </c>
      <c r="G797" s="67" t="s">
        <v>283</v>
      </c>
      <c r="H797" s="69">
        <v>45229</v>
      </c>
      <c r="I797" s="69" t="s">
        <v>73</v>
      </c>
      <c r="J797" s="69" t="s">
        <v>2951</v>
      </c>
      <c r="K797" s="67" t="s">
        <v>1924</v>
      </c>
      <c r="L797" s="67" t="s">
        <v>812</v>
      </c>
      <c r="M797" s="67" t="s">
        <v>1964</v>
      </c>
      <c r="N797" s="67" t="s">
        <v>3705</v>
      </c>
      <c r="O797" s="83" t="str">
        <f t="shared" ca="1" si="48"/>
        <v>SI</v>
      </c>
      <c r="P797" s="83" t="str">
        <f t="shared" si="47"/>
        <v>DIANOSOL</v>
      </c>
      <c r="Q797" s="67" t="s">
        <v>905</v>
      </c>
      <c r="R797" s="67" t="str">
        <f>VLOOKUP($Q797,Resultados!$A$1:$B$49,2,FALSE)</f>
        <v>Juicio Abreviado</v>
      </c>
      <c r="S797" s="74" t="s">
        <v>1332</v>
      </c>
      <c r="T797" s="86" t="str">
        <f t="shared" si="49"/>
        <v>NO</v>
      </c>
      <c r="U797" s="86"/>
      <c r="V797" s="83"/>
      <c r="W797" s="67" t="s">
        <v>1134</v>
      </c>
      <c r="X797" s="67" t="s">
        <v>3685</v>
      </c>
      <c r="Y797" s="67"/>
      <c r="Z797" s="123" t="s">
        <v>2864</v>
      </c>
      <c r="AA797" s="123" t="s">
        <v>1170</v>
      </c>
      <c r="AB797" s="123" t="s">
        <v>1172</v>
      </c>
      <c r="AC797" s="365" t="s">
        <v>1799</v>
      </c>
    </row>
    <row r="798" spans="1:29" ht="39.950000000000003" customHeight="1">
      <c r="A798" s="67">
        <v>808</v>
      </c>
      <c r="B798" s="69">
        <v>45210</v>
      </c>
      <c r="C798" s="74">
        <v>0.37013888888888885</v>
      </c>
      <c r="D798" s="67" t="s">
        <v>3386</v>
      </c>
      <c r="E798" s="68" t="s">
        <v>3387</v>
      </c>
      <c r="F798" s="67">
        <v>1</v>
      </c>
      <c r="G798" s="67" t="s">
        <v>1442</v>
      </c>
      <c r="H798" s="69">
        <v>45229</v>
      </c>
      <c r="I798" s="69" t="s">
        <v>73</v>
      </c>
      <c r="J798" s="69" t="s">
        <v>2948</v>
      </c>
      <c r="K798" s="67" t="s">
        <v>1345</v>
      </c>
      <c r="L798" s="67" t="s">
        <v>813</v>
      </c>
      <c r="M798" s="67" t="s">
        <v>711</v>
      </c>
      <c r="N798" s="67" t="s">
        <v>1529</v>
      </c>
      <c r="O798" s="83" t="str">
        <f t="shared" ca="1" si="48"/>
        <v>SI</v>
      </c>
      <c r="P798" s="83" t="str">
        <f t="shared" si="47"/>
        <v>DIANOSOL</v>
      </c>
      <c r="Q798" s="67" t="s">
        <v>899</v>
      </c>
      <c r="R798" s="67" t="str">
        <f>VLOOKUP($Q798,Resultados!$A$1:$B$49,2,FALSE)</f>
        <v>Libertad</v>
      </c>
      <c r="S798" s="67" t="s">
        <v>3135</v>
      </c>
      <c r="T798" s="86" t="str">
        <f t="shared" si="49"/>
        <v>NO</v>
      </c>
      <c r="U798" s="86"/>
      <c r="V798" s="83"/>
      <c r="W798" s="67" t="s">
        <v>1015</v>
      </c>
      <c r="X798" s="67"/>
      <c r="Y798" s="67"/>
      <c r="Z798" s="123" t="s">
        <v>770</v>
      </c>
      <c r="AA798" s="123" t="s">
        <v>2892</v>
      </c>
      <c r="AB798" s="123" t="s">
        <v>3297</v>
      </c>
      <c r="AC798" s="365"/>
    </row>
    <row r="799" spans="1:29" ht="39.950000000000003" customHeight="1">
      <c r="A799" s="67">
        <v>851</v>
      </c>
      <c r="B799" s="69">
        <v>45219</v>
      </c>
      <c r="C799" s="74">
        <v>0.53055555555555556</v>
      </c>
      <c r="D799" s="67" t="s">
        <v>3521</v>
      </c>
      <c r="E799" s="68" t="s">
        <v>3523</v>
      </c>
      <c r="F799" s="67">
        <v>2</v>
      </c>
      <c r="G799" s="67" t="s">
        <v>1441</v>
      </c>
      <c r="H799" s="69">
        <v>45229</v>
      </c>
      <c r="I799" s="69" t="s">
        <v>73</v>
      </c>
      <c r="J799" s="69" t="s">
        <v>31</v>
      </c>
      <c r="K799" s="67">
        <f>IFERROR(VLOOKUP(J799,Jueces!$A$1:$B$11,2,FALSE),"")</f>
        <v>2</v>
      </c>
      <c r="L799" s="67" t="s">
        <v>3689</v>
      </c>
      <c r="M799" s="67" t="s">
        <v>692</v>
      </c>
      <c r="N799" s="67" t="s">
        <v>3692</v>
      </c>
      <c r="O799" s="83" t="str">
        <f t="shared" ca="1" si="48"/>
        <v>SI</v>
      </c>
      <c r="P799" s="83" t="str">
        <f t="shared" si="47"/>
        <v>DIANOSOL</v>
      </c>
      <c r="Q799" s="67" t="s">
        <v>905</v>
      </c>
      <c r="R799" s="67" t="str">
        <f>VLOOKUP($Q799,Resultados!$A$1:$B$49,2,FALSE)</f>
        <v>Juicio Abreviado</v>
      </c>
      <c r="S799" s="67" t="s">
        <v>1008</v>
      </c>
      <c r="T799" s="86" t="str">
        <f t="shared" si="49"/>
        <v>NO</v>
      </c>
      <c r="U799" s="86"/>
      <c r="V799" s="83"/>
      <c r="W799" s="67" t="s">
        <v>76</v>
      </c>
      <c r="X799" s="273" t="s">
        <v>3691</v>
      </c>
      <c r="Y799" s="67"/>
      <c r="Z799" s="123" t="s">
        <v>3410</v>
      </c>
      <c r="AA799" s="123" t="s">
        <v>3421</v>
      </c>
      <c r="AB799" s="123" t="s">
        <v>1174</v>
      </c>
      <c r="AC799" s="365"/>
    </row>
    <row r="800" spans="1:29" ht="39.950000000000003" customHeight="1">
      <c r="A800" s="67">
        <v>794</v>
      </c>
      <c r="B800" s="69">
        <v>45209</v>
      </c>
      <c r="C800" s="74">
        <v>0.37986111111111115</v>
      </c>
      <c r="D800" s="67" t="s">
        <v>3323</v>
      </c>
      <c r="E800" s="68" t="s">
        <v>3324</v>
      </c>
      <c r="F800" s="67">
        <v>7</v>
      </c>
      <c r="G800" s="67" t="s">
        <v>1440</v>
      </c>
      <c r="H800" s="69">
        <v>45229</v>
      </c>
      <c r="I800" s="69" t="s">
        <v>749</v>
      </c>
      <c r="J800" s="69" t="s">
        <v>1224</v>
      </c>
      <c r="K800" s="67">
        <f>IFERROR(VLOOKUP(J800,Jueces!$A$1:$B$11,2,FALSE),"")</f>
        <v>6</v>
      </c>
      <c r="L800" s="67" t="s">
        <v>2734</v>
      </c>
      <c r="M800" s="67" t="s">
        <v>1178</v>
      </c>
      <c r="N800" s="67" t="s">
        <v>1751</v>
      </c>
      <c r="O800" s="83" t="str">
        <f t="shared" ca="1" si="48"/>
        <v>SI</v>
      </c>
      <c r="P800" s="83" t="str">
        <f t="shared" si="47"/>
        <v>DIANOSOL</v>
      </c>
      <c r="Q800" s="67" t="s">
        <v>151</v>
      </c>
      <c r="R800" s="67" t="str">
        <f>VLOOKUP($Q800,Resultados!$A$1:$B$49,2,FALSE)</f>
        <v>Prisión Preventiva</v>
      </c>
      <c r="S800" s="67" t="s">
        <v>3688</v>
      </c>
      <c r="T800" s="86" t="str">
        <f t="shared" si="49"/>
        <v>SI</v>
      </c>
      <c r="U800" s="86"/>
      <c r="V800" s="83"/>
      <c r="W800" s="67" t="s">
        <v>1233</v>
      </c>
      <c r="X800" s="67"/>
      <c r="Y800" s="67"/>
      <c r="Z800" s="123" t="s">
        <v>743</v>
      </c>
      <c r="AA800" s="341" t="s">
        <v>1168</v>
      </c>
      <c r="AB800" s="123" t="s">
        <v>3361</v>
      </c>
      <c r="AC800" s="365"/>
    </row>
    <row r="801" spans="1:29" ht="39.950000000000003" customHeight="1">
      <c r="A801" s="67">
        <v>777</v>
      </c>
      <c r="B801" s="69">
        <v>45209</v>
      </c>
      <c r="C801" s="67" t="s">
        <v>73</v>
      </c>
      <c r="D801" s="67" t="s">
        <v>3277</v>
      </c>
      <c r="E801" s="68" t="s">
        <v>3328</v>
      </c>
      <c r="F801" s="67">
        <v>6</v>
      </c>
      <c r="G801" s="67" t="s">
        <v>2785</v>
      </c>
      <c r="H801" s="69">
        <v>45229</v>
      </c>
      <c r="I801" s="69" t="s">
        <v>1086</v>
      </c>
      <c r="J801" s="69" t="s">
        <v>31</v>
      </c>
      <c r="K801" s="67">
        <f>IFERROR(VLOOKUP(J801,Jueces!$A$1:$B$11,2,FALSE),"")</f>
        <v>2</v>
      </c>
      <c r="L801" s="67" t="s">
        <v>800</v>
      </c>
      <c r="M801" s="67" t="s">
        <v>712</v>
      </c>
      <c r="N801" s="67" t="s">
        <v>3716</v>
      </c>
      <c r="O801" s="83" t="str">
        <f t="shared" ca="1" si="48"/>
        <v>SI</v>
      </c>
      <c r="P801" s="83" t="str">
        <f t="shared" si="47"/>
        <v>DIANOSOL</v>
      </c>
      <c r="Q801" s="67" t="s">
        <v>905</v>
      </c>
      <c r="R801" s="67" t="str">
        <f>VLOOKUP($Q801,Resultados!$A$1:$B$49,2,FALSE)</f>
        <v>Juicio Abreviado</v>
      </c>
      <c r="S801" s="67" t="s">
        <v>1395</v>
      </c>
      <c r="T801" s="86" t="str">
        <f t="shared" si="49"/>
        <v>NO</v>
      </c>
      <c r="U801" s="86"/>
      <c r="V801" s="83"/>
      <c r="W801" s="67" t="s">
        <v>1509</v>
      </c>
      <c r="X801" s="67" t="s">
        <v>3717</v>
      </c>
      <c r="Y801" s="67"/>
      <c r="Z801" s="123" t="s">
        <v>3410</v>
      </c>
      <c r="AA801" s="123" t="s">
        <v>3344</v>
      </c>
      <c r="AB801" s="123" t="s">
        <v>1176</v>
      </c>
      <c r="AC801" s="365"/>
    </row>
    <row r="802" spans="1:29" ht="39.950000000000003" customHeight="1">
      <c r="A802" s="67">
        <v>783</v>
      </c>
      <c r="B802" s="69">
        <v>45205</v>
      </c>
      <c r="C802" s="67" t="s">
        <v>3304</v>
      </c>
      <c r="D802" s="362" t="s">
        <v>3305</v>
      </c>
      <c r="E802" s="68" t="s">
        <v>3337</v>
      </c>
      <c r="F802" s="67">
        <v>2</v>
      </c>
      <c r="G802" s="67" t="s">
        <v>568</v>
      </c>
      <c r="H802" s="69">
        <v>45229</v>
      </c>
      <c r="I802" s="69" t="s">
        <v>1086</v>
      </c>
      <c r="J802" s="69" t="s">
        <v>1730</v>
      </c>
      <c r="K802" s="67" t="s">
        <v>1924</v>
      </c>
      <c r="L802" s="67" t="s">
        <v>807</v>
      </c>
      <c r="M802" s="67" t="s">
        <v>692</v>
      </c>
      <c r="N802" s="67" t="s">
        <v>3714</v>
      </c>
      <c r="O802" s="83" t="str">
        <f t="shared" ca="1" si="48"/>
        <v>SI</v>
      </c>
      <c r="P802" s="83" t="str">
        <f t="shared" si="47"/>
        <v>DIANOSOL</v>
      </c>
      <c r="Q802" s="67" t="s">
        <v>904</v>
      </c>
      <c r="R802" s="67" t="str">
        <f>VLOOKUP($Q802,Resultados!$A$1:$B$49,2,FALSE)</f>
        <v>Juicio Abreviado</v>
      </c>
      <c r="S802" s="67" t="s">
        <v>1243</v>
      </c>
      <c r="T802" s="86" t="str">
        <f t="shared" si="49"/>
        <v>NO</v>
      </c>
      <c r="U802" s="86"/>
      <c r="V802" s="83"/>
      <c r="W802" s="67" t="s">
        <v>3348</v>
      </c>
      <c r="X802" s="67" t="s">
        <v>3715</v>
      </c>
      <c r="Y802" s="67"/>
      <c r="Z802" s="123" t="s">
        <v>2864</v>
      </c>
      <c r="AA802" s="123" t="s">
        <v>2892</v>
      </c>
      <c r="AB802" s="123" t="s">
        <v>1173</v>
      </c>
      <c r="AC802" s="365" t="s">
        <v>1799</v>
      </c>
    </row>
    <row r="803" spans="1:29" ht="39.950000000000003" customHeight="1">
      <c r="A803" s="67">
        <v>829</v>
      </c>
      <c r="B803" s="69">
        <v>45217</v>
      </c>
      <c r="C803" s="74">
        <v>0.34583333333333338</v>
      </c>
      <c r="D803" s="67" t="s">
        <v>3456</v>
      </c>
      <c r="E803" s="68" t="s">
        <v>3457</v>
      </c>
      <c r="F803" s="67">
        <v>2</v>
      </c>
      <c r="G803" s="67" t="s">
        <v>2771</v>
      </c>
      <c r="H803" s="69">
        <v>45229</v>
      </c>
      <c r="I803" s="69" t="s">
        <v>1086</v>
      </c>
      <c r="J803" s="69" t="s">
        <v>33</v>
      </c>
      <c r="K803" s="67">
        <f>IFERROR(VLOOKUP(J803,Jueces!$A$1:$B$11,2,FALSE),"")</f>
        <v>4</v>
      </c>
      <c r="L803" s="67" t="s">
        <v>791</v>
      </c>
      <c r="M803" s="67" t="s">
        <v>1289</v>
      </c>
      <c r="N803" s="67" t="s">
        <v>484</v>
      </c>
      <c r="O803" s="83" t="str">
        <f t="shared" ca="1" si="48"/>
        <v>SI</v>
      </c>
      <c r="P803" s="83" t="str">
        <f t="shared" si="47"/>
        <v>DIANOSOL</v>
      </c>
      <c r="Q803" s="67" t="s">
        <v>905</v>
      </c>
      <c r="R803" s="67" t="str">
        <f>VLOOKUP($Q803,Resultados!$A$1:$B$49,2,FALSE)</f>
        <v>Juicio Abreviado</v>
      </c>
      <c r="S803" s="67" t="s">
        <v>1233</v>
      </c>
      <c r="T803" s="86" t="str">
        <f t="shared" si="49"/>
        <v>NO</v>
      </c>
      <c r="U803" s="86"/>
      <c r="V803" s="83"/>
      <c r="W803" s="67" t="s">
        <v>1242</v>
      </c>
      <c r="X803" s="273" t="s">
        <v>3687</v>
      </c>
      <c r="Y803" s="67"/>
      <c r="Z803" s="123" t="s">
        <v>770</v>
      </c>
      <c r="AA803" s="123" t="s">
        <v>2849</v>
      </c>
      <c r="AB803" s="123" t="s">
        <v>1172</v>
      </c>
      <c r="AC803" s="365"/>
    </row>
    <row r="804" spans="1:29" ht="39.950000000000003" customHeight="1">
      <c r="A804" s="67">
        <v>766</v>
      </c>
      <c r="B804" s="69">
        <v>45205</v>
      </c>
      <c r="C804" s="74">
        <v>0.45347222222222222</v>
      </c>
      <c r="D804" s="67" t="s">
        <v>3231</v>
      </c>
      <c r="E804" s="68" t="s">
        <v>3232</v>
      </c>
      <c r="F804" s="67">
        <v>1</v>
      </c>
      <c r="G804" s="67" t="s">
        <v>2785</v>
      </c>
      <c r="H804" s="69">
        <v>45229</v>
      </c>
      <c r="I804" s="69" t="s">
        <v>76</v>
      </c>
      <c r="J804" s="69" t="s">
        <v>1220</v>
      </c>
      <c r="K804" s="67" t="s">
        <v>2340</v>
      </c>
      <c r="L804" s="67" t="s">
        <v>812</v>
      </c>
      <c r="M804" s="67" t="s">
        <v>1178</v>
      </c>
      <c r="N804" s="67" t="s">
        <v>3719</v>
      </c>
      <c r="O804" s="83" t="str">
        <f t="shared" ca="1" si="48"/>
        <v>SI</v>
      </c>
      <c r="P804" s="83" t="str">
        <f t="shared" si="47"/>
        <v>DIANOSOL</v>
      </c>
      <c r="Q804" s="67" t="s">
        <v>913</v>
      </c>
      <c r="R804" s="67" t="str">
        <f>VLOOKUP($Q804,Resultados!$A$1:$B$49,2,FALSE)</f>
        <v>Prision domiciliaria</v>
      </c>
      <c r="S804" s="67" t="s">
        <v>3149</v>
      </c>
      <c r="T804" s="86" t="str">
        <f t="shared" si="49"/>
        <v>NO</v>
      </c>
      <c r="U804" s="86"/>
      <c r="V804" s="83"/>
      <c r="W804" s="67" t="s">
        <v>1803</v>
      </c>
      <c r="X804" s="229" t="s">
        <v>3713</v>
      </c>
      <c r="Y804" s="67"/>
      <c r="Z804" s="123" t="s">
        <v>748</v>
      </c>
      <c r="AA804" s="123" t="s">
        <v>3421</v>
      </c>
      <c r="AB804" s="123" t="s">
        <v>3297</v>
      </c>
      <c r="AC804" s="365"/>
    </row>
    <row r="805" spans="1:29" ht="39.950000000000003" customHeight="1">
      <c r="A805" s="67">
        <v>716</v>
      </c>
      <c r="B805" s="69">
        <v>45196</v>
      </c>
      <c r="C805" s="74">
        <v>0.48819444444444443</v>
      </c>
      <c r="D805" s="67" t="s">
        <v>3025</v>
      </c>
      <c r="E805" s="68" t="s">
        <v>3127</v>
      </c>
      <c r="F805" s="67">
        <v>1</v>
      </c>
      <c r="G805" s="67" t="s">
        <v>2835</v>
      </c>
      <c r="H805" s="69">
        <v>45229</v>
      </c>
      <c r="I805" s="69" t="s">
        <v>77</v>
      </c>
      <c r="J805" s="69" t="s">
        <v>33</v>
      </c>
      <c r="K805" s="67">
        <f>IFERROR(VLOOKUP(J805,Jueces!$A$1:$B$11,2,FALSE),"")</f>
        <v>4</v>
      </c>
      <c r="L805" s="67" t="s">
        <v>811</v>
      </c>
      <c r="M805" s="67" t="s">
        <v>1178</v>
      </c>
      <c r="N805" s="67" t="s">
        <v>3711</v>
      </c>
      <c r="O805" s="83" t="str">
        <f t="shared" ca="1" si="48"/>
        <v>SI</v>
      </c>
      <c r="P805" s="83" t="str">
        <f t="shared" si="47"/>
        <v>DIANOSOL</v>
      </c>
      <c r="Q805" s="67" t="s">
        <v>904</v>
      </c>
      <c r="R805" s="67" t="str">
        <f>VLOOKUP($Q805,Resultados!$A$1:$B$49,2,FALSE)</f>
        <v>Juicio Abreviado</v>
      </c>
      <c r="S805" s="74">
        <v>0.48055555555555557</v>
      </c>
      <c r="T805" s="86" t="str">
        <f t="shared" si="49"/>
        <v>NO</v>
      </c>
      <c r="U805" s="86"/>
      <c r="V805" s="83"/>
      <c r="W805" s="67" t="s">
        <v>3710</v>
      </c>
      <c r="X805" s="273" t="s">
        <v>3712</v>
      </c>
      <c r="Y805" s="67"/>
      <c r="Z805" s="341" t="s">
        <v>2864</v>
      </c>
      <c r="AA805" s="123" t="s">
        <v>1168</v>
      </c>
      <c r="AB805" s="123" t="s">
        <v>1174</v>
      </c>
      <c r="AC805" s="365"/>
    </row>
    <row r="806" spans="1:29" ht="39.950000000000003" customHeight="1">
      <c r="A806" s="67">
        <v>759</v>
      </c>
      <c r="B806" s="69"/>
      <c r="C806" s="67"/>
      <c r="D806" s="362"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t="shared" ca="1" si="48"/>
        <v>SI</v>
      </c>
      <c r="P806" s="83" t="str">
        <f t="shared" si="47"/>
        <v>DIANOSOL</v>
      </c>
      <c r="Q806" s="67" t="s">
        <v>151</v>
      </c>
      <c r="R806" s="67" t="str">
        <f>VLOOKUP($Q806,Resultados!$A$1:$B$49,2,FALSE)</f>
        <v>Prisión Preventiva</v>
      </c>
      <c r="S806" s="67" t="s">
        <v>3135</v>
      </c>
      <c r="T806" s="86" t="str">
        <f t="shared" si="49"/>
        <v>NO</v>
      </c>
      <c r="U806" s="86"/>
      <c r="V806" s="83"/>
      <c r="W806" s="67" t="s">
        <v>1586</v>
      </c>
      <c r="X806" s="67" t="s">
        <v>1764</v>
      </c>
      <c r="Y806" s="67"/>
      <c r="Z806" s="123" t="s">
        <v>3410</v>
      </c>
      <c r="AA806" s="123" t="s">
        <v>1170</v>
      </c>
      <c r="AB806" s="123" t="s">
        <v>3361</v>
      </c>
      <c r="AC806" s="365" t="s">
        <v>1799</v>
      </c>
    </row>
    <row r="807" spans="1:29" ht="39.950000000000003" customHeight="1">
      <c r="A807" s="67">
        <v>809</v>
      </c>
      <c r="B807" s="69">
        <v>45210</v>
      </c>
      <c r="C807" s="74">
        <v>0.3659722222222222</v>
      </c>
      <c r="D807" s="67" t="s">
        <v>3388</v>
      </c>
      <c r="E807" s="68" t="s">
        <v>3389</v>
      </c>
      <c r="F807" s="67">
        <v>1</v>
      </c>
      <c r="G807" s="67" t="s">
        <v>3363</v>
      </c>
      <c r="H807" s="69">
        <v>45230</v>
      </c>
      <c r="I807" s="69" t="s">
        <v>73</v>
      </c>
      <c r="J807" s="69" t="s">
        <v>2948</v>
      </c>
      <c r="K807" s="67" t="s">
        <v>1924</v>
      </c>
      <c r="L807" s="67" t="s">
        <v>2428</v>
      </c>
      <c r="M807" s="67" t="s">
        <v>3390</v>
      </c>
      <c r="N807" s="67" t="s">
        <v>1751</v>
      </c>
      <c r="O807" s="83" t="str">
        <f t="shared" ca="1" si="48"/>
        <v>SI</v>
      </c>
      <c r="P807" s="83" t="str">
        <f t="shared" si="47"/>
        <v>DIANOSOL</v>
      </c>
      <c r="Q807" s="67" t="s">
        <v>151</v>
      </c>
      <c r="R807" s="67" t="str">
        <f>VLOOKUP($Q807,Resultados!$A$1:$B$49,2,FALSE)</f>
        <v>Prisión Preventiva</v>
      </c>
      <c r="S807" s="67" t="s">
        <v>759</v>
      </c>
      <c r="T807" s="86" t="str">
        <f t="shared" si="49"/>
        <v>NO</v>
      </c>
      <c r="U807" s="86"/>
      <c r="V807" s="83"/>
      <c r="W807" s="67" t="s">
        <v>1394</v>
      </c>
      <c r="X807" s="67" t="s">
        <v>3725</v>
      </c>
      <c r="Y807" s="67"/>
      <c r="Z807" s="123" t="s">
        <v>1042</v>
      </c>
      <c r="AA807" s="123" t="s">
        <v>2892</v>
      </c>
      <c r="AB807" s="123" t="s">
        <v>1176</v>
      </c>
      <c r="AC807" s="365"/>
    </row>
    <row r="808" spans="1:29" ht="39.950000000000003" customHeight="1">
      <c r="A808" s="67">
        <v>815</v>
      </c>
      <c r="B808" s="69">
        <v>45211</v>
      </c>
      <c r="C808" s="74">
        <v>0.53472222222222221</v>
      </c>
      <c r="D808" s="362" t="s">
        <v>3413</v>
      </c>
      <c r="E808" s="68" t="s">
        <v>3707</v>
      </c>
      <c r="F808" s="67">
        <v>2</v>
      </c>
      <c r="G808" s="67" t="s">
        <v>2835</v>
      </c>
      <c r="H808" s="69">
        <v>45230</v>
      </c>
      <c r="I808" s="69" t="s">
        <v>73</v>
      </c>
      <c r="J808" s="69" t="s">
        <v>31</v>
      </c>
      <c r="K808" s="67">
        <v>2</v>
      </c>
      <c r="L808" s="67" t="s">
        <v>798</v>
      </c>
      <c r="M808" s="67" t="s">
        <v>711</v>
      </c>
      <c r="N808" s="67" t="s">
        <v>1751</v>
      </c>
      <c r="O808" s="83" t="str">
        <f t="shared" ca="1" si="48"/>
        <v>SI</v>
      </c>
      <c r="P808" s="83" t="str">
        <f t="shared" si="47"/>
        <v>DIANOSOL</v>
      </c>
      <c r="Q808" s="67" t="s">
        <v>151</v>
      </c>
      <c r="R808" s="67" t="str">
        <f>VLOOKUP($Q808,Resultados!$A$1:$B$49,2,FALSE)</f>
        <v>Prisión Preventiva</v>
      </c>
      <c r="S808" s="67" t="s">
        <v>1340</v>
      </c>
      <c r="T808" s="86" t="str">
        <f t="shared" si="49"/>
        <v>NO</v>
      </c>
      <c r="U808" s="86"/>
      <c r="V808" s="83"/>
      <c r="W808" s="67" t="s">
        <v>76</v>
      </c>
      <c r="X808" s="67" t="s">
        <v>1764</v>
      </c>
      <c r="Y808" s="67"/>
      <c r="Z808" s="123" t="s">
        <v>770</v>
      </c>
      <c r="AA808" s="123" t="s">
        <v>3422</v>
      </c>
      <c r="AB808" s="123" t="s">
        <v>1173</v>
      </c>
      <c r="AC808" s="365" t="s">
        <v>1799</v>
      </c>
    </row>
    <row r="809" spans="1:29" ht="39.950000000000003" customHeight="1">
      <c r="A809" s="67">
        <v>821</v>
      </c>
      <c r="B809" s="69">
        <v>45216</v>
      </c>
      <c r="C809" s="74">
        <v>0.40763888888888888</v>
      </c>
      <c r="D809" s="67" t="s">
        <v>3439</v>
      </c>
      <c r="E809" s="68" t="s">
        <v>3440</v>
      </c>
      <c r="F809" s="67">
        <v>2</v>
      </c>
      <c r="G809" s="67" t="s">
        <v>2785</v>
      </c>
      <c r="H809" s="69">
        <v>45230</v>
      </c>
      <c r="I809" s="69" t="s">
        <v>73</v>
      </c>
      <c r="J809" s="69" t="s">
        <v>78</v>
      </c>
      <c r="K809" s="67">
        <f>IFERROR(VLOOKUP(J809,Jueces!$A$1:$B$11,2,FALSE),"")</f>
        <v>8</v>
      </c>
      <c r="L809" s="67" t="s">
        <v>791</v>
      </c>
      <c r="M809" s="67" t="s">
        <v>692</v>
      </c>
      <c r="N809" s="67" t="s">
        <v>3726</v>
      </c>
      <c r="O809" s="83" t="str">
        <f t="shared" ca="1" si="48"/>
        <v>SI</v>
      </c>
      <c r="P809" s="83" t="str">
        <f t="shared" si="47"/>
        <v>DIANOSOL</v>
      </c>
      <c r="Q809" s="67" t="s">
        <v>904</v>
      </c>
      <c r="R809" s="67" t="str">
        <f>VLOOKUP($Q809,Resultados!$A$1:$B$49,2,FALSE)</f>
        <v>Juicio Abreviado</v>
      </c>
      <c r="S809" s="67" t="s">
        <v>1128</v>
      </c>
      <c r="T809" s="86" t="str">
        <f t="shared" si="49"/>
        <v>NO</v>
      </c>
      <c r="U809" s="86"/>
      <c r="V809" s="83"/>
      <c r="W809" s="67" t="s">
        <v>1137</v>
      </c>
      <c r="X809" s="67" t="s">
        <v>1764</v>
      </c>
      <c r="Y809" s="67"/>
      <c r="Z809" s="123" t="s">
        <v>748</v>
      </c>
      <c r="AA809" s="123" t="s">
        <v>1170</v>
      </c>
      <c r="AB809" s="123" t="s">
        <v>1172</v>
      </c>
      <c r="AC809" s="365"/>
    </row>
    <row r="810" spans="1:29" ht="39.950000000000003" customHeight="1">
      <c r="A810" s="67">
        <v>784</v>
      </c>
      <c r="B810" s="69">
        <v>45209</v>
      </c>
      <c r="C810" s="67" t="s">
        <v>1192</v>
      </c>
      <c r="D810" s="67" t="s">
        <v>3306</v>
      </c>
      <c r="E810" s="68" t="s">
        <v>3450</v>
      </c>
      <c r="F810" s="67">
        <v>1</v>
      </c>
      <c r="G810" s="67" t="s">
        <v>1441</v>
      </c>
      <c r="H810" s="69">
        <v>45230</v>
      </c>
      <c r="I810" s="69" t="s">
        <v>1086</v>
      </c>
      <c r="J810" s="69" t="s">
        <v>78</v>
      </c>
      <c r="K810" s="67">
        <f>IFERROR(VLOOKUP(J810,Jueces!$A$1:$B$11,2,FALSE),"")</f>
        <v>8</v>
      </c>
      <c r="L810" s="67" t="s">
        <v>811</v>
      </c>
      <c r="M810" s="67" t="s">
        <v>1178</v>
      </c>
      <c r="N810" s="67" t="s">
        <v>3743</v>
      </c>
      <c r="O810" s="67" t="str">
        <f t="shared" ca="1" si="48"/>
        <v>SI</v>
      </c>
      <c r="P810" s="67" t="str">
        <f t="shared" si="47"/>
        <v>DIANOSOL</v>
      </c>
      <c r="Q810" s="67" t="s">
        <v>912</v>
      </c>
      <c r="R810" s="67" t="str">
        <f>VLOOKUP($Q810,Resultados!$A$1:$B$49,2,FALSE)</f>
        <v>Suspendida</v>
      </c>
      <c r="S810" s="67" t="s">
        <v>1537</v>
      </c>
      <c r="T810" s="77" t="str">
        <f t="shared" si="49"/>
        <v>NO</v>
      </c>
      <c r="U810" s="77"/>
      <c r="V810" s="67"/>
      <c r="W810" s="67" t="s">
        <v>2961</v>
      </c>
      <c r="X810" s="67"/>
      <c r="Y810" s="67"/>
      <c r="Z810" s="123" t="s">
        <v>748</v>
      </c>
      <c r="AA810" s="123" t="s">
        <v>2849</v>
      </c>
      <c r="AB810" s="123" t="s">
        <v>3297</v>
      </c>
      <c r="AC810" s="365"/>
    </row>
    <row r="811" spans="1:29" ht="39.950000000000003" customHeight="1">
      <c r="A811" s="67">
        <v>830</v>
      </c>
      <c r="B811" s="69">
        <v>45217</v>
      </c>
      <c r="C811" s="74">
        <v>0.3520833333333333</v>
      </c>
      <c r="D811" s="67" t="s">
        <v>3458</v>
      </c>
      <c r="E811" s="68" t="s">
        <v>3706</v>
      </c>
      <c r="F811" s="67">
        <v>2</v>
      </c>
      <c r="G811" s="67" t="s">
        <v>3362</v>
      </c>
      <c r="H811" s="69">
        <v>45230</v>
      </c>
      <c r="I811" s="69" t="s">
        <v>1086</v>
      </c>
      <c r="J811" s="69" t="s">
        <v>1219</v>
      </c>
      <c r="K811" s="67">
        <f>IFERROR(VLOOKUP(J811,Jueces!$A$1:$B$11,2,FALSE),"")</f>
        <v>1</v>
      </c>
      <c r="L811" s="67" t="s">
        <v>798</v>
      </c>
      <c r="M811" s="67" t="s">
        <v>692</v>
      </c>
      <c r="N811" s="67" t="s">
        <v>3741</v>
      </c>
      <c r="O811" s="67" t="str">
        <f t="shared" ca="1" si="48"/>
        <v>SI</v>
      </c>
      <c r="P811" s="67" t="str">
        <f t="shared" si="47"/>
        <v>DIANOSOL</v>
      </c>
      <c r="Q811" s="67" t="s">
        <v>899</v>
      </c>
      <c r="R811" s="67" t="str">
        <f>VLOOKUP($Q811,Resultados!$A$1:$B$49,2,FALSE)</f>
        <v>Libertad</v>
      </c>
      <c r="S811" s="74">
        <v>0.42291666666666666</v>
      </c>
      <c r="T811" s="77" t="str">
        <f t="shared" si="49"/>
        <v>NO</v>
      </c>
      <c r="U811" s="77"/>
      <c r="V811" s="67"/>
      <c r="W811" s="74">
        <v>0.44236111111111115</v>
      </c>
      <c r="X811" s="67"/>
      <c r="Y811" s="67"/>
      <c r="Z811" s="123" t="s">
        <v>3410</v>
      </c>
      <c r="AA811" s="123" t="s">
        <v>2892</v>
      </c>
      <c r="AB811" s="123" t="s">
        <v>1174</v>
      </c>
      <c r="AC811" s="365"/>
    </row>
    <row r="812" spans="1:29" ht="39.950000000000003" customHeight="1">
      <c r="A812" s="67">
        <v>871</v>
      </c>
      <c r="B812" s="69">
        <v>45223</v>
      </c>
      <c r="C812" s="74">
        <v>0.33333333333333331</v>
      </c>
      <c r="D812" s="67" t="s">
        <v>3162</v>
      </c>
      <c r="E812" s="68" t="s">
        <v>3163</v>
      </c>
      <c r="F812" s="67">
        <v>8</v>
      </c>
      <c r="G812" s="67" t="s">
        <v>1440</v>
      </c>
      <c r="H812" s="69">
        <v>45230</v>
      </c>
      <c r="I812" s="69" t="s">
        <v>1086</v>
      </c>
      <c r="J812" s="69" t="s">
        <v>31</v>
      </c>
      <c r="K812" s="67">
        <v>2</v>
      </c>
      <c r="L812" s="67" t="s">
        <v>3017</v>
      </c>
      <c r="M812" s="67" t="s">
        <v>711</v>
      </c>
      <c r="N812" s="67" t="s">
        <v>3727</v>
      </c>
      <c r="O812" s="83" t="str">
        <f t="shared" ca="1" si="48"/>
        <v>SI</v>
      </c>
      <c r="P812" s="83" t="str">
        <f t="shared" si="47"/>
        <v>DIANOSOL</v>
      </c>
      <c r="Q812" s="67" t="s">
        <v>905</v>
      </c>
      <c r="R812" s="67" t="str">
        <f>VLOOKUP($Q812,Resultados!$A$1:$B$49,2,FALSE)</f>
        <v>Juicio Abreviado</v>
      </c>
      <c r="S812" s="67" t="s">
        <v>1034</v>
      </c>
      <c r="T812" s="86" t="str">
        <f t="shared" si="49"/>
        <v>SI</v>
      </c>
      <c r="U812" s="86"/>
      <c r="V812" s="83"/>
      <c r="W812" s="67" t="s">
        <v>2901</v>
      </c>
      <c r="X812" s="67" t="s">
        <v>3728</v>
      </c>
      <c r="Y812" s="67"/>
      <c r="Z812" s="123" t="s">
        <v>770</v>
      </c>
      <c r="AA812" s="123" t="s">
        <v>2849</v>
      </c>
      <c r="AB812" s="123" t="s">
        <v>3361</v>
      </c>
      <c r="AC812" s="365"/>
    </row>
    <row r="813" spans="1:29" ht="39.950000000000003" customHeight="1">
      <c r="A813" s="67">
        <v>837</v>
      </c>
      <c r="B813" s="69">
        <v>45217</v>
      </c>
      <c r="C813" s="74">
        <v>0.35000000000000003</v>
      </c>
      <c r="D813" s="67" t="s">
        <v>3467</v>
      </c>
      <c r="E813" s="68" t="s">
        <v>3468</v>
      </c>
      <c r="F813" s="67">
        <v>1</v>
      </c>
      <c r="G813" s="67" t="s">
        <v>2835</v>
      </c>
      <c r="H813" s="69">
        <v>45230</v>
      </c>
      <c r="I813" s="69" t="s">
        <v>1209</v>
      </c>
      <c r="J813" s="69" t="s">
        <v>31</v>
      </c>
      <c r="K813" s="67" t="s">
        <v>1519</v>
      </c>
      <c r="L813" s="67" t="s">
        <v>809</v>
      </c>
      <c r="M813" s="67" t="s">
        <v>712</v>
      </c>
      <c r="N813" s="67" t="s">
        <v>3740</v>
      </c>
      <c r="O813" s="67" t="str">
        <f t="shared" ca="1" si="48"/>
        <v>SI</v>
      </c>
      <c r="P813" s="67" t="str">
        <f t="shared" si="47"/>
        <v>DIANOSOL</v>
      </c>
      <c r="Q813" s="67" t="s">
        <v>905</v>
      </c>
      <c r="R813" s="67" t="str">
        <f>VLOOKUP($Q813,Resultados!$A$1:$B$49,2,FALSE)</f>
        <v>Juicio Abreviado</v>
      </c>
      <c r="S813" s="67" t="s">
        <v>3738</v>
      </c>
      <c r="T813" s="77" t="str">
        <f t="shared" si="49"/>
        <v>NO</v>
      </c>
      <c r="U813" s="77"/>
      <c r="V813" s="67"/>
      <c r="W813" s="67" t="s">
        <v>3739</v>
      </c>
      <c r="X813" s="67"/>
      <c r="Y813" s="67"/>
      <c r="Z813" s="123" t="s">
        <v>770</v>
      </c>
      <c r="AA813" s="123" t="s">
        <v>2849</v>
      </c>
      <c r="AB813" s="123" t="s">
        <v>1176</v>
      </c>
      <c r="AC813" s="365"/>
    </row>
    <row r="814" spans="1:29" ht="39.950000000000003" customHeight="1">
      <c r="A814" s="67">
        <v>845</v>
      </c>
      <c r="B814" s="69">
        <v>45218</v>
      </c>
      <c r="C814" s="74">
        <v>0.47013888888888888</v>
      </c>
      <c r="D814" s="67" t="s">
        <v>3496</v>
      </c>
      <c r="E814" s="68" t="s">
        <v>3497</v>
      </c>
      <c r="F814" s="67">
        <v>3</v>
      </c>
      <c r="G814" s="67" t="s">
        <v>568</v>
      </c>
      <c r="H814" s="69">
        <v>45230</v>
      </c>
      <c r="I814" s="69" t="s">
        <v>1209</v>
      </c>
      <c r="J814" s="69" t="s">
        <v>1219</v>
      </c>
      <c r="K814" s="67">
        <f>IFERROR(VLOOKUP(J814,Jueces!$A$1:$B$11,2,FALSE),"")</f>
        <v>1</v>
      </c>
      <c r="L814" s="67" t="s">
        <v>812</v>
      </c>
      <c r="M814" s="67" t="s">
        <v>694</v>
      </c>
      <c r="N814" s="213" t="s">
        <v>3737</v>
      </c>
      <c r="O814" s="67" t="str">
        <f t="shared" ca="1" si="48"/>
        <v>SI</v>
      </c>
      <c r="P814" s="67" t="str">
        <f t="shared" si="47"/>
        <v>DIANOSOL</v>
      </c>
      <c r="Q814" s="67" t="s">
        <v>905</v>
      </c>
      <c r="R814" s="67" t="str">
        <f>VLOOKUP($Q814,Resultados!$A$1:$B$49,2,FALSE)</f>
        <v>Juicio Abreviado</v>
      </c>
      <c r="S814" s="67" t="s">
        <v>3736</v>
      </c>
      <c r="T814" s="77" t="str">
        <f t="shared" si="49"/>
        <v>NO</v>
      </c>
      <c r="U814" s="77"/>
      <c r="V814" s="67"/>
      <c r="W814" s="67" t="s">
        <v>3348</v>
      </c>
      <c r="X814" s="67" t="s">
        <v>3728</v>
      </c>
      <c r="Y814" s="67"/>
      <c r="Z814" s="123" t="s">
        <v>1041</v>
      </c>
      <c r="AA814" s="123" t="s">
        <v>3422</v>
      </c>
      <c r="AB814" s="123" t="s">
        <v>1173</v>
      </c>
      <c r="AC814" s="365"/>
    </row>
    <row r="815" spans="1:29" ht="39.950000000000003" customHeight="1">
      <c r="A815" s="67">
        <v>758</v>
      </c>
      <c r="B815" s="69">
        <v>45202</v>
      </c>
      <c r="C815" s="74">
        <v>0.33333333333333331</v>
      </c>
      <c r="D815" s="67" t="s">
        <v>2968</v>
      </c>
      <c r="E815" s="68" t="s">
        <v>3174</v>
      </c>
      <c r="F815" s="67">
        <v>6</v>
      </c>
      <c r="G815" s="67" t="s">
        <v>2772</v>
      </c>
      <c r="H815" s="69">
        <v>45231</v>
      </c>
      <c r="I815" s="69" t="s">
        <v>73</v>
      </c>
      <c r="J815" s="69" t="s">
        <v>1730</v>
      </c>
      <c r="K815" s="67" t="s">
        <v>1924</v>
      </c>
      <c r="L815" s="67" t="s">
        <v>791</v>
      </c>
      <c r="M815" s="67" t="s">
        <v>694</v>
      </c>
      <c r="N815" s="67" t="s">
        <v>3758</v>
      </c>
      <c r="O815" s="83" t="str">
        <f t="shared" ca="1" si="48"/>
        <v>SI</v>
      </c>
      <c r="P815" s="83" t="str">
        <f t="shared" si="47"/>
        <v>DIANOSOL</v>
      </c>
      <c r="Q815" s="67" t="s">
        <v>905</v>
      </c>
      <c r="R815" s="67" t="str">
        <f>VLOOKUP($Q815,Resultados!$A$1:$B$49,2,FALSE)</f>
        <v>Juicio Abreviado</v>
      </c>
      <c r="S815" s="67" t="s">
        <v>679</v>
      </c>
      <c r="T815" s="86" t="str">
        <f t="shared" si="49"/>
        <v>NO</v>
      </c>
      <c r="U815" s="86"/>
      <c r="V815" s="83"/>
      <c r="W815" s="67" t="s">
        <v>2058</v>
      </c>
      <c r="X815" s="229" t="s">
        <v>3759</v>
      </c>
      <c r="Y815" s="67"/>
      <c r="Z815" s="341" t="s">
        <v>2864</v>
      </c>
      <c r="AA815" s="123" t="s">
        <v>3421</v>
      </c>
      <c r="AB815" s="341" t="s">
        <v>1172</v>
      </c>
      <c r="AC815" s="365"/>
    </row>
    <row r="816" spans="1:29" ht="39.950000000000003" customHeight="1">
      <c r="A816" s="67">
        <v>822</v>
      </c>
      <c r="B816" s="69">
        <v>45216</v>
      </c>
      <c r="C816" s="74">
        <v>0.4069444444444445</v>
      </c>
      <c r="D816" s="67" t="s">
        <v>3441</v>
      </c>
      <c r="E816" s="68" t="s">
        <v>3442</v>
      </c>
      <c r="F816" s="67">
        <v>2</v>
      </c>
      <c r="G816" s="67" t="s">
        <v>1441</v>
      </c>
      <c r="H816" s="69">
        <v>45231</v>
      </c>
      <c r="I816" s="69" t="s">
        <v>73</v>
      </c>
      <c r="J816" s="69" t="s">
        <v>78</v>
      </c>
      <c r="K816" s="67">
        <f>IFERROR(VLOOKUP(J816,Jueces!$A$1:$B$11,2,FALSE),"")</f>
        <v>8</v>
      </c>
      <c r="L816" s="67" t="s">
        <v>806</v>
      </c>
      <c r="M816" s="67" t="s">
        <v>1289</v>
      </c>
      <c r="N816" s="213" t="s">
        <v>3755</v>
      </c>
      <c r="O816" s="83" t="str">
        <f t="shared" ca="1" si="48"/>
        <v>SI</v>
      </c>
      <c r="P816" s="83" t="str">
        <f t="shared" si="47"/>
        <v>DIANOSOL</v>
      </c>
      <c r="Q816" s="67" t="s">
        <v>904</v>
      </c>
      <c r="R816" s="67" t="str">
        <f>VLOOKUP($Q816,Resultados!$A$1:$B$49,2,FALSE)</f>
        <v>Juicio Abreviado</v>
      </c>
      <c r="S816" s="67" t="s">
        <v>1236</v>
      </c>
      <c r="T816" s="86" t="str">
        <f t="shared" si="49"/>
        <v>NO</v>
      </c>
      <c r="U816" s="86"/>
      <c r="V816" s="83"/>
      <c r="W816" s="67" t="s">
        <v>1018</v>
      </c>
      <c r="X816" s="41" t="s">
        <v>3756</v>
      </c>
      <c r="Y816" s="67"/>
      <c r="Z816" s="341" t="s">
        <v>3410</v>
      </c>
      <c r="AA816" s="123" t="s">
        <v>3421</v>
      </c>
      <c r="AB816" s="341" t="s">
        <v>3297</v>
      </c>
      <c r="AC816" s="365"/>
    </row>
    <row r="817" spans="1:29" ht="39.950000000000003" customHeight="1">
      <c r="A817" s="67">
        <v>825</v>
      </c>
      <c r="B817" s="69">
        <v>45216</v>
      </c>
      <c r="C817" s="74">
        <v>0.40208333333333335</v>
      </c>
      <c r="D817" s="67" t="s">
        <v>3447</v>
      </c>
      <c r="E817" s="68" t="s">
        <v>3448</v>
      </c>
      <c r="F817" s="67">
        <v>1</v>
      </c>
      <c r="G817" s="67" t="s">
        <v>568</v>
      </c>
      <c r="H817" s="69">
        <v>45231</v>
      </c>
      <c r="I817" s="69" t="s">
        <v>73</v>
      </c>
      <c r="J817" s="69" t="s">
        <v>31</v>
      </c>
      <c r="K817" s="67" t="s">
        <v>1519</v>
      </c>
      <c r="L817" s="67" t="s">
        <v>2108</v>
      </c>
      <c r="M817" s="67" t="s">
        <v>711</v>
      </c>
      <c r="N817" s="67" t="s">
        <v>1855</v>
      </c>
      <c r="O817" s="83" t="str">
        <f t="shared" ca="1" si="48"/>
        <v>SI</v>
      </c>
      <c r="P817" s="83" t="str">
        <f t="shared" si="47"/>
        <v>DIANOSOL</v>
      </c>
      <c r="Q817" s="67" t="s">
        <v>899</v>
      </c>
      <c r="R817" s="67" t="str">
        <f>VLOOKUP($Q817,Resultados!$A$1:$B$49,2,FALSE)</f>
        <v>Libertad</v>
      </c>
      <c r="S817" s="67" t="s">
        <v>1428</v>
      </c>
      <c r="T817" s="86" t="str">
        <f t="shared" si="49"/>
        <v>NO</v>
      </c>
      <c r="U817" s="86"/>
      <c r="V817" s="83"/>
      <c r="W817" s="67" t="s">
        <v>1233</v>
      </c>
      <c r="X817" s="67" t="s">
        <v>3757</v>
      </c>
      <c r="Y817" s="67"/>
      <c r="Z817" s="341" t="s">
        <v>1041</v>
      </c>
      <c r="AA817" s="123" t="s">
        <v>3422</v>
      </c>
      <c r="AB817" s="341" t="s">
        <v>1174</v>
      </c>
      <c r="AC817" s="365"/>
    </row>
    <row r="818" spans="1:29" ht="39.950000000000003" customHeight="1">
      <c r="A818" s="67">
        <v>860</v>
      </c>
      <c r="B818" s="69">
        <v>45222</v>
      </c>
      <c r="C818" s="74">
        <v>0.42083333333333334</v>
      </c>
      <c r="D818" s="67" t="s">
        <v>3549</v>
      </c>
      <c r="E818" s="68" t="s">
        <v>3550</v>
      </c>
      <c r="F818" s="67">
        <v>2</v>
      </c>
      <c r="G818" s="67" t="s">
        <v>2785</v>
      </c>
      <c r="H818" s="69">
        <v>45231</v>
      </c>
      <c r="I818" s="69" t="s">
        <v>73</v>
      </c>
      <c r="J818" s="69" t="s">
        <v>35</v>
      </c>
      <c r="K818" s="67">
        <f>IFERROR(VLOOKUP(J818,Jueces!$A$1:$B$11,2,FALSE),"")</f>
        <v>3</v>
      </c>
      <c r="L818" s="67" t="s">
        <v>809</v>
      </c>
      <c r="M818" s="67" t="s">
        <v>693</v>
      </c>
      <c r="N818" s="67" t="s">
        <v>510</v>
      </c>
      <c r="O818" s="83" t="str">
        <f t="shared" ca="1" si="48"/>
        <v>SI</v>
      </c>
      <c r="P818" s="83" t="str">
        <f t="shared" si="47"/>
        <v>DIANOSOL</v>
      </c>
      <c r="Q818" s="67" t="s">
        <v>899</v>
      </c>
      <c r="R818" s="67" t="str">
        <f>VLOOKUP($Q818,Resultados!$A$1:$B$49,2,FALSE)</f>
        <v>Libertad</v>
      </c>
      <c r="S818" s="74">
        <v>0.34583333333333338</v>
      </c>
      <c r="T818" s="86" t="str">
        <f t="shared" si="49"/>
        <v>NO</v>
      </c>
      <c r="U818" s="86"/>
      <c r="V818" s="83"/>
      <c r="W818" s="67" t="s">
        <v>679</v>
      </c>
      <c r="X818" s="67"/>
      <c r="Y818" s="67"/>
      <c r="Z818" s="341" t="s">
        <v>1042</v>
      </c>
      <c r="AA818" s="123" t="s">
        <v>1170</v>
      </c>
      <c r="AB818" s="341" t="s">
        <v>3361</v>
      </c>
      <c r="AC818" s="365"/>
    </row>
    <row r="819" spans="1:29" ht="39.950000000000003" customHeight="1">
      <c r="A819" s="67">
        <v>798</v>
      </c>
      <c r="B819" s="69">
        <v>45211</v>
      </c>
      <c r="C819" s="74">
        <v>0.33333333333333331</v>
      </c>
      <c r="D819" s="67" t="s">
        <v>3367</v>
      </c>
      <c r="E819" s="68" t="s">
        <v>3368</v>
      </c>
      <c r="F819" s="67">
        <v>1</v>
      </c>
      <c r="G819" s="67" t="s">
        <v>3362</v>
      </c>
      <c r="H819" s="69">
        <v>45231</v>
      </c>
      <c r="I819" s="69" t="s">
        <v>749</v>
      </c>
      <c r="J819" s="69" t="s">
        <v>1224</v>
      </c>
      <c r="K819" s="67">
        <f>IFERROR(VLOOKUP(J819,Jueces!$A$1:$B$11,2,FALSE),"")</f>
        <v>6</v>
      </c>
      <c r="L819" s="67" t="s">
        <v>829</v>
      </c>
      <c r="M819" s="67" t="s">
        <v>3760</v>
      </c>
      <c r="N819" s="67" t="s">
        <v>3761</v>
      </c>
      <c r="O819" s="83" t="str">
        <f t="shared" ca="1" si="48"/>
        <v>SI</v>
      </c>
      <c r="P819" s="83" t="str">
        <f t="shared" si="47"/>
        <v>DIANOSOL</v>
      </c>
      <c r="Q819" s="67" t="s">
        <v>899</v>
      </c>
      <c r="R819" s="67" t="str">
        <f>VLOOKUP($Q819,Resultados!$A$1:$B$49,2,FALSE)</f>
        <v>Libertad</v>
      </c>
      <c r="S819" s="67" t="s">
        <v>1064</v>
      </c>
      <c r="T819" s="86" t="str">
        <f t="shared" si="49"/>
        <v>NO</v>
      </c>
      <c r="U819" s="86"/>
      <c r="V819" s="83"/>
      <c r="W819" s="67" t="s">
        <v>1234</v>
      </c>
      <c r="X819" s="67"/>
      <c r="Y819" s="67"/>
      <c r="Z819" s="341" t="s">
        <v>743</v>
      </c>
      <c r="AA819" s="123" t="s">
        <v>2892</v>
      </c>
      <c r="AB819" s="341" t="s">
        <v>1176</v>
      </c>
      <c r="AC819" s="365"/>
    </row>
    <row r="820" spans="1:29" ht="39.950000000000003" customHeight="1">
      <c r="A820" s="67">
        <v>862</v>
      </c>
      <c r="B820" s="69">
        <v>45222</v>
      </c>
      <c r="C820" s="74">
        <v>0.42152777777777778</v>
      </c>
      <c r="D820" s="67" t="s">
        <v>3552</v>
      </c>
      <c r="E820" s="68" t="s">
        <v>3553</v>
      </c>
      <c r="F820" s="67">
        <v>2</v>
      </c>
      <c r="G820" s="67" t="s">
        <v>1442</v>
      </c>
      <c r="H820" s="69">
        <v>45231</v>
      </c>
      <c r="I820" s="69" t="s">
        <v>1086</v>
      </c>
      <c r="J820" s="69" t="s">
        <v>78</v>
      </c>
      <c r="K820" s="67">
        <f>IFERROR(VLOOKUP(J820,Jueces!$A$1:$B$11,2,FALSE),"")</f>
        <v>8</v>
      </c>
      <c r="L820" s="67" t="s">
        <v>799</v>
      </c>
      <c r="M820" s="67" t="s">
        <v>693</v>
      </c>
      <c r="N820" s="67" t="s">
        <v>3793</v>
      </c>
      <c r="O820" s="83" t="str">
        <f t="shared" ca="1" si="48"/>
        <v>SI</v>
      </c>
      <c r="P820" s="83" t="str">
        <f t="shared" si="47"/>
        <v>DIANOSOL</v>
      </c>
      <c r="Q820" s="67" t="s">
        <v>904</v>
      </c>
      <c r="R820" s="67" t="str">
        <f>VLOOKUP($Q820,Resultados!$A$1:$B$49,2,FALSE)</f>
        <v>Juicio Abreviado</v>
      </c>
      <c r="S820" s="67" t="s">
        <v>1508</v>
      </c>
      <c r="T820" s="86" t="str">
        <f t="shared" si="49"/>
        <v>NO</v>
      </c>
      <c r="U820" s="86"/>
      <c r="V820" s="83"/>
      <c r="W820" s="67" t="s">
        <v>1509</v>
      </c>
      <c r="X820" s="67" t="s">
        <v>3717</v>
      </c>
      <c r="Y820" s="67"/>
      <c r="Z820" s="341" t="s">
        <v>3410</v>
      </c>
      <c r="AA820" s="123" t="s">
        <v>3422</v>
      </c>
      <c r="AB820" s="341" t="s">
        <v>1173</v>
      </c>
      <c r="AC820" s="365"/>
    </row>
    <row r="821" spans="1:29" ht="39.950000000000003" customHeight="1">
      <c r="A821" s="67">
        <v>840</v>
      </c>
      <c r="B821" s="69">
        <v>45218</v>
      </c>
      <c r="C821" s="74">
        <v>0.34375</v>
      </c>
      <c r="D821" s="67" t="s">
        <v>3515</v>
      </c>
      <c r="E821" s="68" t="s">
        <v>3487</v>
      </c>
      <c r="F821" s="67">
        <v>2</v>
      </c>
      <c r="G821" s="67" t="s">
        <v>283</v>
      </c>
      <c r="H821" s="69">
        <v>45231</v>
      </c>
      <c r="I821" s="69" t="s">
        <v>1209</v>
      </c>
      <c r="J821" s="69" t="s">
        <v>1220</v>
      </c>
      <c r="K821" s="67" t="s">
        <v>2301</v>
      </c>
      <c r="L821" s="67" t="s">
        <v>811</v>
      </c>
      <c r="M821" s="67" t="s">
        <v>693</v>
      </c>
      <c r="N821" s="67" t="s">
        <v>3791</v>
      </c>
      <c r="O821" s="83" t="str">
        <f t="shared" ca="1" si="48"/>
        <v>SI</v>
      </c>
      <c r="P821" s="83" t="str">
        <f t="shared" si="47"/>
        <v>DIANOSOL</v>
      </c>
      <c r="Q821" s="67" t="s">
        <v>904</v>
      </c>
      <c r="R821" s="67" t="str">
        <f>VLOOKUP($Q821,Resultados!$A$1:$B$49,2,FALSE)</f>
        <v>Juicio Abreviado</v>
      </c>
      <c r="S821" s="67" t="s">
        <v>3789</v>
      </c>
      <c r="T821" s="86" t="str">
        <f t="shared" si="49"/>
        <v>NO</v>
      </c>
      <c r="U821" s="86"/>
      <c r="V821" s="83"/>
      <c r="W821" s="67" t="s">
        <v>3209</v>
      </c>
      <c r="X821" s="229" t="s">
        <v>3792</v>
      </c>
      <c r="Y821" s="67"/>
      <c r="Z821" s="341" t="s">
        <v>770</v>
      </c>
      <c r="AA821" s="123" t="s">
        <v>2849</v>
      </c>
      <c r="AB821" s="341" t="s">
        <v>1172</v>
      </c>
      <c r="AC821" s="365"/>
    </row>
    <row r="822" spans="1:29" ht="39.950000000000003" customHeight="1">
      <c r="A822" s="67">
        <v>836</v>
      </c>
      <c r="B822" s="69">
        <v>45217</v>
      </c>
      <c r="C822" s="74">
        <v>0.4861111111111111</v>
      </c>
      <c r="D822" s="67" t="s">
        <v>3466</v>
      </c>
      <c r="E822" s="68" t="s">
        <v>3730</v>
      </c>
      <c r="F822" s="67">
        <v>8</v>
      </c>
      <c r="G822" s="67" t="s">
        <v>2771</v>
      </c>
      <c r="H822" s="69">
        <v>45231</v>
      </c>
      <c r="I822" s="69" t="s">
        <v>3209</v>
      </c>
      <c r="J822" s="69" t="s">
        <v>1219</v>
      </c>
      <c r="K822" s="67" t="s">
        <v>1924</v>
      </c>
      <c r="L822" s="67" t="s">
        <v>3689</v>
      </c>
      <c r="M822" s="67" t="s">
        <v>3488</v>
      </c>
      <c r="N822" s="67" t="s">
        <v>3790</v>
      </c>
      <c r="O822" s="83" t="str">
        <f t="shared" ca="1" si="48"/>
        <v>SI</v>
      </c>
      <c r="P822" s="83" t="str">
        <f t="shared" si="47"/>
        <v>DIANOSOL</v>
      </c>
      <c r="Q822" s="67" t="s">
        <v>905</v>
      </c>
      <c r="R822" s="67" t="str">
        <f>VLOOKUP($Q822,Resultados!$A$1:$B$49,2,FALSE)</f>
        <v>Juicio Abreviado</v>
      </c>
      <c r="S822" s="67" t="s">
        <v>3680</v>
      </c>
      <c r="T822" s="86" t="str">
        <f t="shared" si="49"/>
        <v>NO</v>
      </c>
      <c r="U822" s="86"/>
      <c r="V822" s="83"/>
      <c r="W822" s="67" t="s">
        <v>3275</v>
      </c>
      <c r="X822" s="67"/>
      <c r="Y822" s="67"/>
      <c r="Z822" s="341" t="s">
        <v>3410</v>
      </c>
      <c r="AA822" s="123" t="s">
        <v>2892</v>
      </c>
      <c r="AB822" s="341" t="s">
        <v>3297</v>
      </c>
      <c r="AC822" s="365"/>
    </row>
    <row r="823" spans="1:29" ht="39.950000000000003" customHeight="1">
      <c r="A823" s="67">
        <v>835</v>
      </c>
      <c r="B823" s="69">
        <v>45217</v>
      </c>
      <c r="C823" s="74">
        <v>0.48402777777777778</v>
      </c>
      <c r="D823" s="67" t="s">
        <v>3464</v>
      </c>
      <c r="E823" s="68" t="s">
        <v>3465</v>
      </c>
      <c r="F823" s="67">
        <v>1</v>
      </c>
      <c r="G823" s="67" t="s">
        <v>3363</v>
      </c>
      <c r="H823" s="69">
        <v>45231</v>
      </c>
      <c r="I823" s="69" t="s">
        <v>77</v>
      </c>
      <c r="J823" s="69" t="s">
        <v>1220</v>
      </c>
      <c r="K823" s="67" t="s">
        <v>2301</v>
      </c>
      <c r="L823" s="67" t="s">
        <v>812</v>
      </c>
      <c r="M823" s="378" t="s">
        <v>783</v>
      </c>
      <c r="N823" s="67" t="s">
        <v>3787</v>
      </c>
      <c r="O823" s="83" t="str">
        <f t="shared" ca="1" si="48"/>
        <v>SI</v>
      </c>
      <c r="P823" s="83" t="str">
        <f t="shared" si="47"/>
        <v>DIANOSOL</v>
      </c>
      <c r="Q823" s="67" t="s">
        <v>151</v>
      </c>
      <c r="R823" s="67" t="str">
        <f>VLOOKUP($Q823,Resultados!$A$1:$B$49,2,FALSE)</f>
        <v>Prisión Preventiva</v>
      </c>
      <c r="S823" s="74">
        <v>0.47916666666666669</v>
      </c>
      <c r="T823" s="86" t="str">
        <f t="shared" si="49"/>
        <v>NO</v>
      </c>
      <c r="U823" s="86"/>
      <c r="V823" s="83"/>
      <c r="W823" s="67" t="s">
        <v>228</v>
      </c>
      <c r="X823" s="67" t="s">
        <v>1753</v>
      </c>
      <c r="Y823" s="67"/>
      <c r="Z823" s="341" t="s">
        <v>770</v>
      </c>
      <c r="AA823" s="123" t="s">
        <v>2849</v>
      </c>
      <c r="AB823" s="341" t="s">
        <v>1174</v>
      </c>
      <c r="AC823" s="365"/>
    </row>
    <row r="824" spans="1:29" ht="39.950000000000003" customHeight="1">
      <c r="A824" s="67">
        <v>899</v>
      </c>
      <c r="B824" s="69"/>
      <c r="C824" s="67"/>
      <c r="D824" s="362" t="s">
        <v>1448</v>
      </c>
      <c r="E824" s="68" t="s">
        <v>1451</v>
      </c>
      <c r="F824" s="67">
        <v>2</v>
      </c>
      <c r="G824" s="67" t="s">
        <v>43</v>
      </c>
      <c r="H824" s="69">
        <v>45231</v>
      </c>
      <c r="I824" s="69" t="s">
        <v>77</v>
      </c>
      <c r="J824" s="69" t="s">
        <v>1219</v>
      </c>
      <c r="K824" s="67">
        <f>IFERROR(VLOOKUP(J824,Jueces!$A$1:$B$11,2,FALSE),"")</f>
        <v>1</v>
      </c>
      <c r="L824" s="67" t="s">
        <v>801</v>
      </c>
      <c r="M824" s="67" t="s">
        <v>692</v>
      </c>
      <c r="N824" s="67" t="s">
        <v>3788</v>
      </c>
      <c r="O824" s="83" t="str">
        <f t="shared" ca="1" si="48"/>
        <v>SI</v>
      </c>
      <c r="P824" s="83" t="str">
        <f t="shared" si="47"/>
        <v>DIANOSOL</v>
      </c>
      <c r="Q824" s="67" t="s">
        <v>905</v>
      </c>
      <c r="R824" s="67" t="str">
        <f>VLOOKUP($Q824,Resultados!$A$1:$B$49,2,FALSE)</f>
        <v>Juicio Abreviado</v>
      </c>
      <c r="S824" s="67" t="s">
        <v>1127</v>
      </c>
      <c r="T824" s="86" t="str">
        <f t="shared" si="49"/>
        <v>NO</v>
      </c>
      <c r="U824" s="86"/>
      <c r="V824" s="83"/>
      <c r="W824" s="67" t="s">
        <v>1784</v>
      </c>
      <c r="X824" s="67"/>
      <c r="Y824" s="67"/>
      <c r="Z824" s="341" t="s">
        <v>2864</v>
      </c>
      <c r="AA824" s="123" t="s">
        <v>2892</v>
      </c>
      <c r="AB824" s="341" t="s">
        <v>3361</v>
      </c>
      <c r="AC824" s="365" t="s">
        <v>1799</v>
      </c>
    </row>
    <row r="825" spans="1:29" ht="39.950000000000003" customHeight="1">
      <c r="A825" s="67">
        <v>823</v>
      </c>
      <c r="B825" s="69">
        <v>45216</v>
      </c>
      <c r="C825" s="74">
        <v>0.40625</v>
      </c>
      <c r="D825" s="67" t="s">
        <v>3443</v>
      </c>
      <c r="E825" s="68" t="s">
        <v>3444</v>
      </c>
      <c r="F825" s="67">
        <v>2</v>
      </c>
      <c r="G825" s="67" t="s">
        <v>1441</v>
      </c>
      <c r="H825" s="69">
        <v>45232</v>
      </c>
      <c r="I825" s="69" t="s">
        <v>73</v>
      </c>
      <c r="J825" s="69" t="s">
        <v>2948</v>
      </c>
      <c r="K825" s="67" t="s">
        <v>1519</v>
      </c>
      <c r="L825" s="67" t="s">
        <v>810</v>
      </c>
      <c r="M825" s="67" t="s">
        <v>692</v>
      </c>
      <c r="N825" s="67" t="s">
        <v>3828</v>
      </c>
      <c r="O825" s="83" t="str">
        <f t="shared" ca="1" si="48"/>
        <v>SI</v>
      </c>
      <c r="P825" s="83" t="str">
        <f t="shared" si="47"/>
        <v>DIANOSOL</v>
      </c>
      <c r="Q825" s="67" t="s">
        <v>905</v>
      </c>
      <c r="R825" s="67" t="str">
        <f>VLOOKUP($Q825,Resultados!$A$1:$B$49,2,FALSE)</f>
        <v>Juicio Abreviado</v>
      </c>
      <c r="S825" s="67" t="s">
        <v>1014</v>
      </c>
      <c r="T825" s="86" t="str">
        <f t="shared" si="49"/>
        <v>NO</v>
      </c>
      <c r="U825" s="86"/>
      <c r="V825" s="83"/>
      <c r="W825" s="67" t="s">
        <v>2058</v>
      </c>
      <c r="X825" s="67"/>
      <c r="Y825" s="67"/>
      <c r="Z825" s="364" t="s">
        <v>3410</v>
      </c>
      <c r="AA825" s="364" t="s">
        <v>2849</v>
      </c>
      <c r="AB825" s="364" t="s">
        <v>1176</v>
      </c>
      <c r="AC825" s="365"/>
    </row>
    <row r="826" spans="1:29" ht="39.950000000000003" customHeight="1">
      <c r="A826" s="67">
        <v>855</v>
      </c>
      <c r="B826" s="69">
        <v>45222</v>
      </c>
      <c r="C826" s="74">
        <v>0.4236111111111111</v>
      </c>
      <c r="D826" s="67" t="s">
        <v>3539</v>
      </c>
      <c r="E826" s="68" t="s">
        <v>3540</v>
      </c>
      <c r="F826" s="67">
        <v>3</v>
      </c>
      <c r="G826" s="67" t="s">
        <v>568</v>
      </c>
      <c r="H826" s="69">
        <v>45232</v>
      </c>
      <c r="I826" s="69" t="s">
        <v>73</v>
      </c>
      <c r="J826" s="69" t="s">
        <v>35</v>
      </c>
      <c r="K826" s="67">
        <f>IFERROR(VLOOKUP(J826,Jueces!$A$1:$B$11,2,FALSE),"")</f>
        <v>3</v>
      </c>
      <c r="L826" s="67" t="s">
        <v>811</v>
      </c>
      <c r="M826" s="67" t="s">
        <v>694</v>
      </c>
      <c r="N826" s="229" t="s">
        <v>3832</v>
      </c>
      <c r="O826" s="83" t="str">
        <f t="shared" ca="1" si="48"/>
        <v>SI</v>
      </c>
      <c r="P826" s="83" t="str">
        <f t="shared" si="47"/>
        <v>DIANOSOL</v>
      </c>
      <c r="Q826" s="67" t="s">
        <v>904</v>
      </c>
      <c r="R826" s="67" t="str">
        <f>VLOOKUP($Q826,Resultados!$A$1:$B$49,2,FALSE)</f>
        <v>Juicio Abreviado</v>
      </c>
      <c r="S826" s="67" t="s">
        <v>2708</v>
      </c>
      <c r="T826" s="86" t="str">
        <f t="shared" si="49"/>
        <v>NO</v>
      </c>
      <c r="U826" s="86"/>
      <c r="V826" s="83"/>
      <c r="W826" s="67" t="s">
        <v>1611</v>
      </c>
      <c r="X826" s="273" t="s">
        <v>3833</v>
      </c>
      <c r="Y826" s="67"/>
      <c r="Z826" s="364" t="s">
        <v>743</v>
      </c>
      <c r="AA826" s="364" t="s">
        <v>1170</v>
      </c>
      <c r="AB826" s="364" t="s">
        <v>1173</v>
      </c>
      <c r="AC826" s="365"/>
    </row>
    <row r="827" spans="1:29" ht="39.950000000000003" customHeight="1">
      <c r="A827" s="67">
        <v>852</v>
      </c>
      <c r="B827" s="69">
        <v>45219</v>
      </c>
      <c r="C827" s="67" t="s">
        <v>1015</v>
      </c>
      <c r="D827" s="67" t="s">
        <v>3519</v>
      </c>
      <c r="E827" s="68" t="s">
        <v>3520</v>
      </c>
      <c r="F827" s="67">
        <v>2</v>
      </c>
      <c r="G827" s="67" t="s">
        <v>1440</v>
      </c>
      <c r="H827" s="69">
        <v>45232</v>
      </c>
      <c r="I827" s="69" t="s">
        <v>1086</v>
      </c>
      <c r="J827" s="69" t="s">
        <v>31</v>
      </c>
      <c r="K827" s="67">
        <f>IFERROR(VLOOKUP(J827,Jueces!$A$1:$B$11,2,FALSE),"")</f>
        <v>2</v>
      </c>
      <c r="L827" s="67" t="s">
        <v>1700</v>
      </c>
      <c r="M827" s="67" t="s">
        <v>692</v>
      </c>
      <c r="N827" s="67" t="s">
        <v>3830</v>
      </c>
      <c r="O827" s="83" t="str">
        <f t="shared" ca="1" si="48"/>
        <v>SI</v>
      </c>
      <c r="P827" s="83" t="str">
        <f t="shared" si="47"/>
        <v>DIANOSOL</v>
      </c>
      <c r="Q827" s="67" t="s">
        <v>151</v>
      </c>
      <c r="R827" s="67" t="str">
        <f>VLOOKUP($Q827,Resultados!$A$1:$B$49,2,FALSE)</f>
        <v>Prisión Preventiva</v>
      </c>
      <c r="S827" s="67" t="s">
        <v>1391</v>
      </c>
      <c r="T827" s="86" t="str">
        <f t="shared" si="49"/>
        <v>SI</v>
      </c>
      <c r="U827" s="86"/>
      <c r="V827" s="83"/>
      <c r="W827" s="67" t="s">
        <v>1298</v>
      </c>
      <c r="X827" s="67" t="s">
        <v>3717</v>
      </c>
      <c r="Y827" s="67"/>
      <c r="Z827" s="364" t="s">
        <v>3410</v>
      </c>
      <c r="AA827" s="364" t="s">
        <v>3422</v>
      </c>
      <c r="AB827" s="364" t="s">
        <v>1172</v>
      </c>
      <c r="AC827" s="365"/>
    </row>
    <row r="828" spans="1:29" ht="39.950000000000003" customHeight="1">
      <c r="A828" s="67">
        <v>859</v>
      </c>
      <c r="B828" s="69">
        <v>45222</v>
      </c>
      <c r="C828" s="74">
        <v>0.42083333333333334</v>
      </c>
      <c r="D828" s="67" t="s">
        <v>3547</v>
      </c>
      <c r="E828" s="68" t="s">
        <v>3548</v>
      </c>
      <c r="F828" s="67">
        <v>2</v>
      </c>
      <c r="G828" s="67" t="s">
        <v>1442</v>
      </c>
      <c r="H828" s="69">
        <v>45232</v>
      </c>
      <c r="I828" s="69" t="s">
        <v>1086</v>
      </c>
      <c r="J828" s="69" t="s">
        <v>1224</v>
      </c>
      <c r="K828" s="67">
        <f>IFERROR(VLOOKUP(J828,Jueces!$A$1:$B$11,2,FALSE),"")</f>
        <v>6</v>
      </c>
      <c r="L828" s="67" t="s">
        <v>811</v>
      </c>
      <c r="M828" s="67" t="s">
        <v>693</v>
      </c>
      <c r="N828" s="67" t="s">
        <v>3831</v>
      </c>
      <c r="O828" s="83" t="str">
        <f t="shared" ca="1" si="48"/>
        <v>SI</v>
      </c>
      <c r="P828" s="83" t="str">
        <f t="shared" si="47"/>
        <v>DIANOSOL</v>
      </c>
      <c r="Q828" s="67" t="s">
        <v>899</v>
      </c>
      <c r="R828" s="67" t="str">
        <f>VLOOKUP($Q828,Resultados!$A$1:$B$49,2,FALSE)</f>
        <v>Libertad</v>
      </c>
      <c r="S828" s="67" t="s">
        <v>1236</v>
      </c>
      <c r="T828" s="86" t="str">
        <f t="shared" si="49"/>
        <v>NO</v>
      </c>
      <c r="U828" s="86"/>
      <c r="V828" s="83"/>
      <c r="W828" s="67" t="s">
        <v>1457</v>
      </c>
      <c r="X828" s="67"/>
      <c r="Y828" s="67"/>
      <c r="Z828" s="364" t="s">
        <v>748</v>
      </c>
      <c r="AA828" s="364" t="s">
        <v>3421</v>
      </c>
      <c r="AB828" s="364" t="s">
        <v>3297</v>
      </c>
      <c r="AC828" s="365"/>
    </row>
    <row r="829" spans="1:29" ht="39.950000000000003" customHeight="1">
      <c r="A829" s="67">
        <v>861</v>
      </c>
      <c r="B829" s="69">
        <v>45222</v>
      </c>
      <c r="C829" s="74">
        <v>0.42152777777777778</v>
      </c>
      <c r="D829" s="67" t="s">
        <v>3551</v>
      </c>
      <c r="E829" s="68" t="s">
        <v>3731</v>
      </c>
      <c r="F829" s="67">
        <v>2</v>
      </c>
      <c r="G829" s="67" t="s">
        <v>2835</v>
      </c>
      <c r="H829" s="69">
        <v>45232</v>
      </c>
      <c r="I829" s="69" t="s">
        <v>1086</v>
      </c>
      <c r="J829" s="69" t="s">
        <v>78</v>
      </c>
      <c r="K829" s="67">
        <f>IFERROR(VLOOKUP(J829,Jueces!$A$1:$B$11,2,FALSE),"")</f>
        <v>8</v>
      </c>
      <c r="L829" s="67" t="s">
        <v>791</v>
      </c>
      <c r="M829" s="67" t="s">
        <v>2691</v>
      </c>
      <c r="N829" s="67" t="s">
        <v>3829</v>
      </c>
      <c r="O829" s="83" t="str">
        <f t="shared" ca="1" si="48"/>
        <v>SI</v>
      </c>
      <c r="P829" s="83" t="str">
        <f t="shared" si="47"/>
        <v>DIANOSOL</v>
      </c>
      <c r="Q829" s="67" t="s">
        <v>151</v>
      </c>
      <c r="R829" s="67" t="str">
        <f>VLOOKUP($Q829,Resultados!$A$1:$B$49,2,FALSE)</f>
        <v>Prisión Preventiva</v>
      </c>
      <c r="S829" s="67" t="s">
        <v>1608</v>
      </c>
      <c r="T829" s="86" t="str">
        <f t="shared" si="49"/>
        <v>NO</v>
      </c>
      <c r="U829" s="86"/>
      <c r="V829" s="83"/>
      <c r="W829" s="67" t="s">
        <v>1251</v>
      </c>
      <c r="X829" s="67" t="s">
        <v>1753</v>
      </c>
      <c r="Y829" s="67"/>
      <c r="Z829" s="364" t="s">
        <v>770</v>
      </c>
      <c r="AA829" s="364" t="s">
        <v>1170</v>
      </c>
      <c r="AB829" s="364" t="s">
        <v>1174</v>
      </c>
      <c r="AC829" s="379"/>
    </row>
    <row r="830" spans="1:29" ht="39.950000000000003" customHeight="1">
      <c r="A830" s="67">
        <v>841</v>
      </c>
      <c r="B830" s="69">
        <v>45218</v>
      </c>
      <c r="C830" s="74">
        <v>0.41597222222222219</v>
      </c>
      <c r="D830" s="67" t="s">
        <v>2303</v>
      </c>
      <c r="E830" s="68" t="s">
        <v>3489</v>
      </c>
      <c r="F830" s="67">
        <v>6</v>
      </c>
      <c r="G830" s="67" t="s">
        <v>283</v>
      </c>
      <c r="H830" s="69">
        <v>45232</v>
      </c>
      <c r="I830" s="69" t="s">
        <v>3209</v>
      </c>
      <c r="J830" s="69" t="s">
        <v>1220</v>
      </c>
      <c r="K830" s="67" t="s">
        <v>1924</v>
      </c>
      <c r="L830" s="67" t="s">
        <v>811</v>
      </c>
      <c r="M830" s="67" t="s">
        <v>2123</v>
      </c>
      <c r="N830" s="67" t="s">
        <v>3826</v>
      </c>
      <c r="O830" s="83" t="str">
        <f t="shared" ca="1" si="48"/>
        <v>SI</v>
      </c>
      <c r="P830" s="83" t="str">
        <f t="shared" si="47"/>
        <v>DIANOSOL</v>
      </c>
      <c r="Q830" s="67" t="s">
        <v>902</v>
      </c>
      <c r="R830" s="67" t="str">
        <f>VLOOKUP($Q830,Resultados!$A$1:$B$49,2,FALSE)</f>
        <v>Libertad</v>
      </c>
      <c r="S830" s="67" t="s">
        <v>3825</v>
      </c>
      <c r="T830" s="86" t="str">
        <f t="shared" si="49"/>
        <v>NO</v>
      </c>
      <c r="U830" s="86"/>
      <c r="V830" s="83"/>
      <c r="W830" s="67" t="s">
        <v>3677</v>
      </c>
      <c r="X830" s="67" t="s">
        <v>3827</v>
      </c>
      <c r="Y830" s="67"/>
      <c r="Z830" s="364" t="s">
        <v>3360</v>
      </c>
      <c r="AA830" s="364" t="s">
        <v>2892</v>
      </c>
      <c r="AB830" s="364" t="s">
        <v>3361</v>
      </c>
      <c r="AC830" s="379"/>
    </row>
    <row r="831" spans="1:29" ht="39.950000000000003" customHeight="1">
      <c r="A831" s="67">
        <v>834</v>
      </c>
      <c r="B831" s="69">
        <v>45217</v>
      </c>
      <c r="C831" s="74">
        <v>0.48333333333333334</v>
      </c>
      <c r="D831" s="67" t="s">
        <v>3463</v>
      </c>
      <c r="E831" s="68" t="s">
        <v>3499</v>
      </c>
      <c r="F831" s="67">
        <v>3</v>
      </c>
      <c r="G831" s="67" t="s">
        <v>2785</v>
      </c>
      <c r="H831" s="69">
        <v>45232</v>
      </c>
      <c r="I831" s="69" t="s">
        <v>989</v>
      </c>
      <c r="J831" s="69" t="s">
        <v>1219</v>
      </c>
      <c r="K831" s="67">
        <v>8</v>
      </c>
      <c r="L831" s="67" t="s">
        <v>809</v>
      </c>
      <c r="M831" s="67" t="s">
        <v>694</v>
      </c>
      <c r="N831" s="67" t="s">
        <v>3824</v>
      </c>
      <c r="O831" s="83" t="str">
        <f t="shared" ca="1" si="48"/>
        <v>SI</v>
      </c>
      <c r="P831" s="83" t="str">
        <f t="shared" si="47"/>
        <v>DIANOSOL</v>
      </c>
      <c r="Q831" s="67" t="s">
        <v>904</v>
      </c>
      <c r="R831" s="67" t="str">
        <f>VLOOKUP($Q831,Resultados!$A$1:$B$49,2,FALSE)</f>
        <v>Juicio Abreviado</v>
      </c>
      <c r="S831" s="67" t="s">
        <v>3823</v>
      </c>
      <c r="T831" s="86" t="str">
        <f t="shared" si="49"/>
        <v>NO</v>
      </c>
      <c r="U831" s="86"/>
      <c r="V831" s="83"/>
      <c r="W831" s="67" t="s">
        <v>3158</v>
      </c>
      <c r="X831" s="67"/>
      <c r="Y831" s="67"/>
      <c r="Z831" s="364" t="s">
        <v>770</v>
      </c>
      <c r="AA831" s="364" t="s">
        <v>3421</v>
      </c>
      <c r="AB831" s="364" t="s">
        <v>1176</v>
      </c>
      <c r="AC831" s="379"/>
    </row>
    <row r="832" spans="1:29" ht="39.950000000000003" customHeight="1">
      <c r="A832" s="67">
        <v>760</v>
      </c>
      <c r="B832" s="69">
        <v>45206</v>
      </c>
      <c r="C832" s="74">
        <v>0.47013888888888888</v>
      </c>
      <c r="D832" s="216" t="s">
        <v>2492</v>
      </c>
      <c r="E832" s="68" t="s">
        <v>3819</v>
      </c>
      <c r="F832" s="67">
        <v>4</v>
      </c>
      <c r="G832" s="67" t="s">
        <v>568</v>
      </c>
      <c r="H832" s="69">
        <v>45233</v>
      </c>
      <c r="I832" s="69" t="s">
        <v>73</v>
      </c>
      <c r="J832" s="69" t="s">
        <v>31</v>
      </c>
      <c r="K832" s="67">
        <f>IFERROR(VLOOKUP(J832,Jueces!$A$1:$B$11,2,FALSE),"")</f>
        <v>2</v>
      </c>
      <c r="L832" s="67" t="s">
        <v>798</v>
      </c>
      <c r="M832" s="67" t="s">
        <v>695</v>
      </c>
      <c r="N832" s="67" t="s">
        <v>577</v>
      </c>
      <c r="O832" s="83" t="str">
        <f t="shared" ca="1" si="48"/>
        <v>SI</v>
      </c>
      <c r="P832" s="83" t="str">
        <f t="shared" si="47"/>
        <v>DIANOSOL</v>
      </c>
      <c r="Q832" s="67" t="s">
        <v>151</v>
      </c>
      <c r="R832" s="67" t="str">
        <f>VLOOKUP($Q832,Resultados!$A$1:$B$49,2,FALSE)</f>
        <v>Prisión Preventiva</v>
      </c>
      <c r="S832" s="67" t="s">
        <v>1428</v>
      </c>
      <c r="T832" s="86" t="str">
        <f t="shared" si="49"/>
        <v>NO</v>
      </c>
      <c r="U832" s="86"/>
      <c r="V832" s="83"/>
      <c r="W832" s="67" t="s">
        <v>2961</v>
      </c>
      <c r="X832" s="67" t="s">
        <v>3854</v>
      </c>
      <c r="Y832" s="67"/>
      <c r="Z832" s="350" t="s">
        <v>3410</v>
      </c>
      <c r="AA832" s="350" t="s">
        <v>1168</v>
      </c>
      <c r="AB832" s="350" t="s">
        <v>1173</v>
      </c>
      <c r="AC832" s="379"/>
    </row>
    <row r="833" spans="1:29" ht="39.950000000000003" customHeight="1">
      <c r="A833" s="67">
        <v>831</v>
      </c>
      <c r="B833" s="69">
        <v>45210</v>
      </c>
      <c r="C833" s="74">
        <v>0.3972222222222222</v>
      </c>
      <c r="D833" s="67" t="s">
        <v>3375</v>
      </c>
      <c r="E833" s="68" t="s">
        <v>3459</v>
      </c>
      <c r="F833" s="67">
        <v>4</v>
      </c>
      <c r="G833" s="67" t="s">
        <v>2785</v>
      </c>
      <c r="H833" s="69">
        <v>45233</v>
      </c>
      <c r="I833" s="69" t="s">
        <v>73</v>
      </c>
      <c r="J833" s="69" t="s">
        <v>1220</v>
      </c>
      <c r="K833" s="67" t="s">
        <v>1924</v>
      </c>
      <c r="L833" s="67" t="s">
        <v>814</v>
      </c>
      <c r="M833" s="67" t="s">
        <v>3460</v>
      </c>
      <c r="N833" s="67" t="s">
        <v>3860</v>
      </c>
      <c r="O833" s="83" t="str">
        <f t="shared" ca="1" si="48"/>
        <v>SI</v>
      </c>
      <c r="P833" s="83" t="str">
        <f t="shared" si="47"/>
        <v>DIANOSOL</v>
      </c>
      <c r="Q833" s="67" t="s">
        <v>151</v>
      </c>
      <c r="R833" s="67" t="str">
        <f>VLOOKUP($Q833,Resultados!$A$1:$B$49,2,FALSE)</f>
        <v>Prisión Preventiva</v>
      </c>
      <c r="S833" s="67" t="s">
        <v>1234</v>
      </c>
      <c r="T833" s="86" t="str">
        <f t="shared" si="49"/>
        <v>NO</v>
      </c>
      <c r="U833" s="86"/>
      <c r="V833" s="83"/>
      <c r="W833" s="67" t="s">
        <v>1233</v>
      </c>
      <c r="X833" s="67" t="s">
        <v>2568</v>
      </c>
      <c r="Y833" s="67"/>
      <c r="Z833" s="350" t="s">
        <v>770</v>
      </c>
      <c r="AA833" s="350" t="s">
        <v>2892</v>
      </c>
      <c r="AB833" s="350" t="s">
        <v>1172</v>
      </c>
      <c r="AC833" s="379"/>
    </row>
    <row r="834" spans="1:29" ht="39.950000000000003" customHeight="1">
      <c r="A834" s="67">
        <v>853</v>
      </c>
      <c r="B834" s="69">
        <v>45219</v>
      </c>
      <c r="C834" s="74">
        <v>0.52916666666666667</v>
      </c>
      <c r="D834" s="67" t="s">
        <v>3522</v>
      </c>
      <c r="E834" s="68" t="s">
        <v>3524</v>
      </c>
      <c r="F834" s="67">
        <v>2</v>
      </c>
      <c r="G834" s="67" t="s">
        <v>1440</v>
      </c>
      <c r="H834" s="69">
        <v>45233</v>
      </c>
      <c r="I834" s="69" t="s">
        <v>73</v>
      </c>
      <c r="J834" s="69" t="s">
        <v>2951</v>
      </c>
      <c r="K834" s="67" t="s">
        <v>1345</v>
      </c>
      <c r="L834" s="67" t="s">
        <v>2428</v>
      </c>
      <c r="M834" s="67" t="s">
        <v>2047</v>
      </c>
      <c r="N834" s="67" t="s">
        <v>2194</v>
      </c>
      <c r="O834" s="83" t="str">
        <f t="shared" ca="1" si="48"/>
        <v>SI</v>
      </c>
      <c r="P834" s="83" t="str">
        <f t="shared" si="47"/>
        <v>DIANOSOL</v>
      </c>
      <c r="Q834" s="67" t="s">
        <v>904</v>
      </c>
      <c r="R834" s="67" t="str">
        <f>VLOOKUP($Q834,Resultados!$A$1:$B$49,2,FALSE)</f>
        <v>Juicio Abreviado</v>
      </c>
      <c r="S834" s="67" t="s">
        <v>3688</v>
      </c>
      <c r="T834" s="86" t="str">
        <f t="shared" si="49"/>
        <v>SI</v>
      </c>
      <c r="U834" s="86"/>
      <c r="V834" s="83"/>
      <c r="W834" s="67" t="s">
        <v>3132</v>
      </c>
      <c r="X834" s="67"/>
      <c r="Y834" s="67"/>
      <c r="Z834" s="350" t="s">
        <v>1042</v>
      </c>
      <c r="AA834" s="350" t="s">
        <v>2849</v>
      </c>
      <c r="AB834" s="350" t="s">
        <v>3297</v>
      </c>
      <c r="AC834" s="379"/>
    </row>
    <row r="835" spans="1:29" ht="39.950000000000003" customHeight="1">
      <c r="A835" s="67">
        <v>856</v>
      </c>
      <c r="B835" s="69">
        <v>45219</v>
      </c>
      <c r="C835" s="74">
        <v>0.46180555555555558</v>
      </c>
      <c r="D835" s="67" t="s">
        <v>3541</v>
      </c>
      <c r="E835" s="68" t="s">
        <v>3542</v>
      </c>
      <c r="F835" s="67">
        <v>3</v>
      </c>
      <c r="G835" s="67" t="s">
        <v>3363</v>
      </c>
      <c r="H835" s="69">
        <v>45233</v>
      </c>
      <c r="I835" s="69" t="s">
        <v>73</v>
      </c>
      <c r="J835" s="69" t="s">
        <v>78</v>
      </c>
      <c r="K835" s="67">
        <f>IFERROR(VLOOKUP(J835,Jueces!$A$1:$B$11,2,FALSE),"")</f>
        <v>8</v>
      </c>
      <c r="L835" s="67" t="s">
        <v>811</v>
      </c>
      <c r="M835" s="67" t="s">
        <v>694</v>
      </c>
      <c r="N835" s="67" t="s">
        <v>3851</v>
      </c>
      <c r="O835" s="83" t="str">
        <f t="shared" ca="1" si="48"/>
        <v>SI</v>
      </c>
      <c r="P835" s="83" t="str">
        <f t="shared" ref="P835:P898" si="50">IF($P$1=H835,"DIASOL", "DIANOSOL")</f>
        <v>DIANOSOL</v>
      </c>
      <c r="Q835" s="67" t="s">
        <v>904</v>
      </c>
      <c r="R835" s="67" t="str">
        <f>VLOOKUP($Q835,Resultados!$A$1:$B$49,2,FALSE)</f>
        <v>Juicio Abreviado</v>
      </c>
      <c r="S835" s="67" t="s">
        <v>1291</v>
      </c>
      <c r="T835" s="86" t="str">
        <f t="shared" si="49"/>
        <v>NO</v>
      </c>
      <c r="U835" s="86"/>
      <c r="V835" s="83"/>
      <c r="W835" s="67" t="s">
        <v>1394</v>
      </c>
      <c r="X835" s="67" t="s">
        <v>2568</v>
      </c>
      <c r="Y835" s="67"/>
      <c r="Z835" s="350" t="s">
        <v>743</v>
      </c>
      <c r="AA835" s="350" t="s">
        <v>2892</v>
      </c>
      <c r="AB835" s="350" t="s">
        <v>1174</v>
      </c>
      <c r="AC835" s="379"/>
    </row>
    <row r="836" spans="1:29" ht="39.950000000000003" customHeight="1">
      <c r="A836" s="7">
        <v>810</v>
      </c>
      <c r="B836" s="326">
        <v>45211</v>
      </c>
      <c r="C836" s="7" t="s">
        <v>1391</v>
      </c>
      <c r="D836" s="7" t="s">
        <v>981</v>
      </c>
      <c r="E836" s="41" t="s">
        <v>3494</v>
      </c>
      <c r="F836" s="73">
        <v>8</v>
      </c>
      <c r="G836" s="67" t="s">
        <v>1441</v>
      </c>
      <c r="H836" s="69">
        <v>45233</v>
      </c>
      <c r="I836" s="69" t="s">
        <v>749</v>
      </c>
      <c r="J836" s="69" t="s">
        <v>1224</v>
      </c>
      <c r="K836" s="67">
        <f>IFERROR(VLOOKUP(J836,Jueces!$A$1:$B$11,2,FALSE),"")</f>
        <v>6</v>
      </c>
      <c r="L836" s="67" t="s">
        <v>813</v>
      </c>
      <c r="M836" s="67" t="s">
        <v>723</v>
      </c>
      <c r="N836" s="67" t="s">
        <v>2566</v>
      </c>
      <c r="O836" s="83" t="str">
        <f t="shared" ca="1" si="48"/>
        <v>SI</v>
      </c>
      <c r="P836" s="83" t="str">
        <f t="shared" si="50"/>
        <v>DIANOSOL</v>
      </c>
      <c r="Q836" s="67" t="s">
        <v>899</v>
      </c>
      <c r="R836" s="67" t="str">
        <f>VLOOKUP($Q836,Resultados!$A$1:$B$49,2,FALSE)</f>
        <v>Libertad</v>
      </c>
      <c r="S836" s="67" t="s">
        <v>1064</v>
      </c>
      <c r="T836" s="86" t="str">
        <f t="shared" si="49"/>
        <v>NO</v>
      </c>
      <c r="U836" s="86"/>
      <c r="V836" s="83"/>
      <c r="W836" s="67" t="s">
        <v>1278</v>
      </c>
      <c r="X836" s="67" t="s">
        <v>3852</v>
      </c>
      <c r="Y836" s="67"/>
      <c r="Z836" s="350" t="s">
        <v>1041</v>
      </c>
      <c r="AA836" s="350" t="s">
        <v>3421</v>
      </c>
      <c r="AB836" s="350" t="s">
        <v>1176</v>
      </c>
      <c r="AC836" s="379"/>
    </row>
    <row r="837" spans="1:29" ht="39.950000000000003" customHeight="1">
      <c r="A837" s="112">
        <v>810</v>
      </c>
      <c r="B837" s="266">
        <v>45211</v>
      </c>
      <c r="C837" s="272">
        <v>0.38680555555555557</v>
      </c>
      <c r="D837" s="112" t="s">
        <v>3391</v>
      </c>
      <c r="E837" s="113" t="s">
        <v>3392</v>
      </c>
      <c r="F837" s="67">
        <v>7</v>
      </c>
      <c r="G837" s="67" t="s">
        <v>283</v>
      </c>
      <c r="H837" s="69">
        <v>45233</v>
      </c>
      <c r="I837" s="69" t="s">
        <v>1086</v>
      </c>
      <c r="J837" s="69" t="s">
        <v>1219</v>
      </c>
      <c r="K837" s="67">
        <v>3</v>
      </c>
      <c r="L837" s="67" t="s">
        <v>1070</v>
      </c>
      <c r="M837" s="67" t="s">
        <v>692</v>
      </c>
      <c r="N837" s="67" t="s">
        <v>3853</v>
      </c>
      <c r="O837" s="83" t="str">
        <f t="shared" ca="1" si="48"/>
        <v>SI</v>
      </c>
      <c r="P837" s="83" t="str">
        <f t="shared" si="50"/>
        <v>DIANOSOL</v>
      </c>
      <c r="Q837" s="67" t="s">
        <v>899</v>
      </c>
      <c r="R837" s="67" t="str">
        <f>VLOOKUP($Q837,Resultados!$A$1:$B$49,2,FALSE)</f>
        <v>Libertad</v>
      </c>
      <c r="S837" s="67" t="s">
        <v>1124</v>
      </c>
      <c r="T837" s="86" t="str">
        <f t="shared" si="49"/>
        <v>NO</v>
      </c>
      <c r="U837" s="86"/>
      <c r="V837" s="83"/>
      <c r="W837" s="67" t="s">
        <v>1005</v>
      </c>
      <c r="X837" s="67" t="s">
        <v>3237</v>
      </c>
      <c r="Y837" s="67"/>
      <c r="Z837" s="350" t="s">
        <v>743</v>
      </c>
      <c r="AA837" s="350" t="s">
        <v>3421</v>
      </c>
      <c r="AB837" s="350" t="s">
        <v>3361</v>
      </c>
      <c r="AC837" s="379"/>
    </row>
    <row r="838" spans="1:29" ht="39.950000000000003" customHeight="1">
      <c r="A838" s="67">
        <v>838</v>
      </c>
      <c r="B838" s="69">
        <v>45217</v>
      </c>
      <c r="C838" s="74">
        <v>0.46180555555555558</v>
      </c>
      <c r="D838" s="362" t="s">
        <v>1347</v>
      </c>
      <c r="E838" s="68" t="s">
        <v>3471</v>
      </c>
      <c r="F838" s="67">
        <v>4</v>
      </c>
      <c r="G838" s="67" t="s">
        <v>1442</v>
      </c>
      <c r="H838" s="69">
        <v>45233</v>
      </c>
      <c r="I838" s="69" t="s">
        <v>1086</v>
      </c>
      <c r="J838" s="69" t="s">
        <v>1730</v>
      </c>
      <c r="K838" s="67" t="s">
        <v>1519</v>
      </c>
      <c r="L838" s="67" t="s">
        <v>814</v>
      </c>
      <c r="M838" s="367" t="s">
        <v>1446</v>
      </c>
      <c r="N838" s="67" t="s">
        <v>3859</v>
      </c>
      <c r="O838" s="83" t="str">
        <f t="shared" ca="1" si="48"/>
        <v>SI</v>
      </c>
      <c r="P838" s="83" t="str">
        <f t="shared" si="50"/>
        <v>DIANOSOL</v>
      </c>
      <c r="Q838" s="67" t="s">
        <v>151</v>
      </c>
      <c r="R838" s="67" t="str">
        <f>VLOOKUP($Q838,Resultados!$A$1:$B$49,2,FALSE)</f>
        <v>Prisión Preventiva</v>
      </c>
      <c r="S838" s="67" t="s">
        <v>1302</v>
      </c>
      <c r="T838" s="86" t="str">
        <f t="shared" si="49"/>
        <v>NO</v>
      </c>
      <c r="U838" s="86"/>
      <c r="V838" s="83"/>
      <c r="W838" s="67" t="s">
        <v>75</v>
      </c>
      <c r="X838" s="67" t="s">
        <v>3855</v>
      </c>
      <c r="Y838" s="67"/>
      <c r="Z838" s="350" t="s">
        <v>3410</v>
      </c>
      <c r="AA838" s="350" t="s">
        <v>1170</v>
      </c>
      <c r="AB838" s="350" t="s">
        <v>1173</v>
      </c>
      <c r="AC838" s="379" t="s">
        <v>1799</v>
      </c>
    </row>
    <row r="839" spans="1:29" ht="39.950000000000003" customHeight="1">
      <c r="A839" s="67">
        <v>839</v>
      </c>
      <c r="B839" s="69">
        <v>45217</v>
      </c>
      <c r="C839" s="74">
        <v>0.4909722222222222</v>
      </c>
      <c r="D839" s="67" t="s">
        <v>3469</v>
      </c>
      <c r="E839" s="68" t="s">
        <v>3780</v>
      </c>
      <c r="F839" s="67">
        <v>2</v>
      </c>
      <c r="G839" s="67" t="s">
        <v>2835</v>
      </c>
      <c r="H839" s="69">
        <v>45233</v>
      </c>
      <c r="I839" s="69" t="s">
        <v>1209</v>
      </c>
      <c r="J839" s="69" t="s">
        <v>1220</v>
      </c>
      <c r="K839" s="67" t="s">
        <v>1924</v>
      </c>
      <c r="L839" s="67" t="s">
        <v>791</v>
      </c>
      <c r="M839" s="67" t="s">
        <v>692</v>
      </c>
      <c r="N839" s="67" t="s">
        <v>3861</v>
      </c>
      <c r="O839" s="83" t="str">
        <f t="shared" ca="1" si="48"/>
        <v>SI</v>
      </c>
      <c r="P839" s="83" t="str">
        <f t="shared" si="50"/>
        <v>DIANOSOL</v>
      </c>
      <c r="Q839" s="67" t="s">
        <v>1900</v>
      </c>
      <c r="R839" s="67" t="str">
        <f>VLOOKUP($Q839,Resultados!$A$1:$B$49,2,FALSE)</f>
        <v>Sobreseimiento</v>
      </c>
      <c r="S839" s="67" t="s">
        <v>1449</v>
      </c>
      <c r="T839" s="86" t="str">
        <f t="shared" si="49"/>
        <v>NO</v>
      </c>
      <c r="U839" s="86"/>
      <c r="V839" s="83"/>
      <c r="W839" s="67" t="s">
        <v>3209</v>
      </c>
      <c r="X839" s="67" t="s">
        <v>2568</v>
      </c>
      <c r="Y839" s="67"/>
      <c r="Z839" s="350" t="s">
        <v>770</v>
      </c>
      <c r="AA839" s="350" t="s">
        <v>2849</v>
      </c>
      <c r="AB839" s="350" t="s">
        <v>1172</v>
      </c>
      <c r="AC839" s="379"/>
    </row>
    <row r="840" spans="1:29" ht="39.950000000000003" customHeight="1">
      <c r="A840" s="67">
        <v>824</v>
      </c>
      <c r="B840" s="69">
        <v>45216</v>
      </c>
      <c r="C840" s="74">
        <v>0.40416666666666662</v>
      </c>
      <c r="D840" s="67" t="s">
        <v>3446</v>
      </c>
      <c r="E840" s="68" t="s">
        <v>3445</v>
      </c>
      <c r="F840" s="67">
        <v>2</v>
      </c>
      <c r="G840" s="67" t="s">
        <v>3690</v>
      </c>
      <c r="H840" s="69">
        <v>45233</v>
      </c>
      <c r="I840" s="69" t="s">
        <v>3209</v>
      </c>
      <c r="J840" s="69" t="s">
        <v>31</v>
      </c>
      <c r="K840" s="67" t="s">
        <v>1345</v>
      </c>
      <c r="L840" s="67" t="s">
        <v>809</v>
      </c>
      <c r="M840" s="7" t="s">
        <v>692</v>
      </c>
      <c r="N840" s="67" t="s">
        <v>3856</v>
      </c>
      <c r="O840" s="83" t="str">
        <f t="shared" ca="1" si="48"/>
        <v>SI</v>
      </c>
      <c r="P840" s="83" t="str">
        <f t="shared" si="50"/>
        <v>DIANOSOL</v>
      </c>
      <c r="Q840" s="67" t="s">
        <v>904</v>
      </c>
      <c r="R840" s="67" t="str">
        <f>VLOOKUP($Q840,Resultados!$A$1:$B$49,2,FALSE)</f>
        <v>Juicio Abreviado</v>
      </c>
      <c r="S840" s="67" t="s">
        <v>1804</v>
      </c>
      <c r="T840" s="86" t="str">
        <f t="shared" si="49"/>
        <v>NO</v>
      </c>
      <c r="U840" s="86"/>
      <c r="V840" s="83"/>
      <c r="W840" s="67" t="s">
        <v>3153</v>
      </c>
      <c r="X840" s="67" t="s">
        <v>3857</v>
      </c>
      <c r="Y840" s="67"/>
      <c r="Z840" s="350" t="s">
        <v>3410</v>
      </c>
      <c r="AA840" s="350" t="s">
        <v>1170</v>
      </c>
      <c r="AB840" s="350" t="s">
        <v>3297</v>
      </c>
      <c r="AC840" s="379"/>
    </row>
    <row r="841" spans="1:29" ht="39.950000000000003" customHeight="1">
      <c r="A841" s="67">
        <v>789</v>
      </c>
      <c r="B841" s="69">
        <v>45209</v>
      </c>
      <c r="C841" s="74">
        <v>0.4465277777777778</v>
      </c>
      <c r="D841" s="67" t="s">
        <v>3316</v>
      </c>
      <c r="E841" s="68" t="s">
        <v>3577</v>
      </c>
      <c r="F841" s="67">
        <v>1</v>
      </c>
      <c r="G841" s="67" t="s">
        <v>568</v>
      </c>
      <c r="H841" s="69">
        <v>45236</v>
      </c>
      <c r="I841" s="69" t="s">
        <v>73</v>
      </c>
      <c r="J841" s="69" t="s">
        <v>78</v>
      </c>
      <c r="K841" s="67">
        <f>IFERROR(VLOOKUP(J841,Jueces!$A$1:$B$11,2,FALSE),"")</f>
        <v>8</v>
      </c>
      <c r="L841" s="67" t="s">
        <v>806</v>
      </c>
      <c r="M841" s="155" t="s">
        <v>1289</v>
      </c>
      <c r="N841" s="67" t="s">
        <v>3895</v>
      </c>
      <c r="O841" s="83" t="str">
        <f t="shared" ca="1" si="48"/>
        <v>SI</v>
      </c>
      <c r="P841" s="83" t="str">
        <f t="shared" si="50"/>
        <v>DIANOSOL</v>
      </c>
      <c r="Q841" s="67" t="s">
        <v>904</v>
      </c>
      <c r="R841" s="67" t="str">
        <f>VLOOKUP($Q841,Resultados!$A$1:$B$49,2,FALSE)</f>
        <v>Juicio Abreviado</v>
      </c>
      <c r="S841" s="67" t="s">
        <v>1018</v>
      </c>
      <c r="T841" s="86" t="str">
        <f t="shared" si="49"/>
        <v>NO</v>
      </c>
      <c r="U841" s="86"/>
      <c r="V841" s="83"/>
      <c r="W841" s="67" t="s">
        <v>1242</v>
      </c>
      <c r="X841" s="229" t="s">
        <v>3896</v>
      </c>
      <c r="Y841" s="67"/>
      <c r="Z841" s="67"/>
      <c r="AA841" s="123" t="s">
        <v>3422</v>
      </c>
      <c r="AB841" s="123" t="s">
        <v>1174</v>
      </c>
      <c r="AC841" s="379"/>
    </row>
    <row r="842" spans="1:29" ht="39.950000000000003" customHeight="1">
      <c r="A842" s="67">
        <v>833</v>
      </c>
      <c r="B842" s="69">
        <v>45217</v>
      </c>
      <c r="C842" s="74">
        <v>0.4826388888888889</v>
      </c>
      <c r="D842" s="67" t="s">
        <v>3461</v>
      </c>
      <c r="E842" s="68" t="s">
        <v>3462</v>
      </c>
      <c r="F842" s="67">
        <v>1</v>
      </c>
      <c r="G842" s="67" t="s">
        <v>3363</v>
      </c>
      <c r="H842" s="69">
        <v>45236</v>
      </c>
      <c r="I842" s="69" t="s">
        <v>73</v>
      </c>
      <c r="J842" s="69" t="s">
        <v>2948</v>
      </c>
      <c r="K842" s="67" t="s">
        <v>1345</v>
      </c>
      <c r="L842" s="67" t="s">
        <v>2108</v>
      </c>
      <c r="M842" s="67" t="s">
        <v>1178</v>
      </c>
      <c r="N842" s="67" t="s">
        <v>1751</v>
      </c>
      <c r="O842" s="83" t="str">
        <f t="shared" ca="1" si="48"/>
        <v>SI</v>
      </c>
      <c r="P842" s="83" t="str">
        <f t="shared" si="50"/>
        <v>DIANOSOL</v>
      </c>
      <c r="Q842" s="67" t="s">
        <v>151</v>
      </c>
      <c r="R842" s="67" t="str">
        <f>VLOOKUP($Q842,Resultados!$A$1:$B$49,2,FALSE)</f>
        <v>Prisión Preventiva</v>
      </c>
      <c r="S842" s="67" t="s">
        <v>3135</v>
      </c>
      <c r="T842" s="86" t="str">
        <f t="shared" si="49"/>
        <v>NO</v>
      </c>
      <c r="U842" s="86"/>
      <c r="V842" s="83"/>
      <c r="W842" s="67" t="s">
        <v>1611</v>
      </c>
      <c r="X842" s="67" t="s">
        <v>3894</v>
      </c>
      <c r="Y842" s="67"/>
      <c r="Z842" s="67"/>
      <c r="AA842" s="123" t="s">
        <v>2892</v>
      </c>
      <c r="AB842" s="123" t="s">
        <v>3361</v>
      </c>
      <c r="AC842" s="379"/>
    </row>
    <row r="843" spans="1:29" ht="39.950000000000003" customHeight="1">
      <c r="A843" s="67">
        <v>858</v>
      </c>
      <c r="B843" s="69">
        <v>45222</v>
      </c>
      <c r="C843" s="74">
        <v>0.4201388888888889</v>
      </c>
      <c r="D843" s="67" t="s">
        <v>3545</v>
      </c>
      <c r="E843" s="68" t="s">
        <v>3546</v>
      </c>
      <c r="F843" s="67">
        <v>2</v>
      </c>
      <c r="G843" s="67" t="s">
        <v>1440</v>
      </c>
      <c r="H843" s="69">
        <v>45236</v>
      </c>
      <c r="I843" s="69" t="s">
        <v>73</v>
      </c>
      <c r="J843" s="69" t="s">
        <v>31</v>
      </c>
      <c r="K843" s="67">
        <f>IFERROR(VLOOKUP(J843,Jueces!$A$1:$B$11,2,FALSE),"")</f>
        <v>2</v>
      </c>
      <c r="L843" s="67" t="s">
        <v>1700</v>
      </c>
      <c r="M843" s="381" t="s">
        <v>2140</v>
      </c>
      <c r="N843" s="67" t="s">
        <v>3900</v>
      </c>
      <c r="O843" s="83" t="str">
        <f t="shared" ca="1" si="48"/>
        <v>SI</v>
      </c>
      <c r="P843" s="83" t="str">
        <f t="shared" si="50"/>
        <v>DIANOSOL</v>
      </c>
      <c r="Q843" s="67" t="s">
        <v>899</v>
      </c>
      <c r="R843" s="67" t="str">
        <f>VLOOKUP($Q843,Resultados!$A$1:$B$49,2,FALSE)</f>
        <v>Libertad</v>
      </c>
      <c r="S843" s="67" t="s">
        <v>2678</v>
      </c>
      <c r="T843" s="86" t="str">
        <f t="shared" si="49"/>
        <v>SI</v>
      </c>
      <c r="U843" s="86"/>
      <c r="V843" s="83"/>
      <c r="W843" s="67" t="s">
        <v>679</v>
      </c>
      <c r="X843" s="67" t="s">
        <v>3901</v>
      </c>
      <c r="Y843" s="67"/>
      <c r="Z843" s="67"/>
      <c r="AA843" s="123" t="s">
        <v>2849</v>
      </c>
      <c r="AB843" s="123" t="s">
        <v>1176</v>
      </c>
      <c r="AC843" s="379"/>
    </row>
    <row r="844" spans="1:29" ht="39.950000000000003" customHeight="1">
      <c r="A844" s="67">
        <v>867</v>
      </c>
      <c r="B844" s="69">
        <v>45222</v>
      </c>
      <c r="C844" s="74">
        <v>0.40763888888888888</v>
      </c>
      <c r="D844" s="67" t="s">
        <v>3583</v>
      </c>
      <c r="E844" s="68" t="s">
        <v>3708</v>
      </c>
      <c r="F844" s="67">
        <v>2</v>
      </c>
      <c r="G844" s="67" t="s">
        <v>2785</v>
      </c>
      <c r="H844" s="69">
        <v>45236</v>
      </c>
      <c r="I844" s="69" t="s">
        <v>73</v>
      </c>
      <c r="J844" s="69" t="s">
        <v>35</v>
      </c>
      <c r="K844" s="67">
        <f>IFERROR(VLOOKUP(J844,Jueces!$A$1:$B$11,2,FALSE),"")</f>
        <v>3</v>
      </c>
      <c r="L844" s="67" t="s">
        <v>791</v>
      </c>
      <c r="M844" s="67" t="s">
        <v>3897</v>
      </c>
      <c r="N844" s="67" t="s">
        <v>3899</v>
      </c>
      <c r="O844" s="83" t="str">
        <f t="shared" ca="1" si="48"/>
        <v>SI</v>
      </c>
      <c r="P844" s="83" t="str">
        <f t="shared" si="50"/>
        <v>DIANOSOL</v>
      </c>
      <c r="Q844" s="67" t="s">
        <v>899</v>
      </c>
      <c r="R844" s="67" t="str">
        <f>VLOOKUP($Q844,Resultados!$A$1:$B$49,2,FALSE)</f>
        <v>Libertad</v>
      </c>
      <c r="S844" s="67"/>
      <c r="T844" s="86" t="str">
        <f t="shared" si="49"/>
        <v>NO</v>
      </c>
      <c r="U844" s="86"/>
      <c r="V844" s="83"/>
      <c r="W844" s="67"/>
      <c r="X844" s="229" t="s">
        <v>3898</v>
      </c>
      <c r="Y844" s="67"/>
      <c r="Z844" s="67"/>
      <c r="AA844" s="123" t="s">
        <v>1170</v>
      </c>
      <c r="AB844" s="123" t="s">
        <v>1173</v>
      </c>
      <c r="AC844" s="379"/>
    </row>
    <row r="845" spans="1:29" ht="39.950000000000003" customHeight="1">
      <c r="A845" s="67">
        <v>842</v>
      </c>
      <c r="B845" s="69">
        <v>45218</v>
      </c>
      <c r="C845" s="74">
        <v>0.41736111111111113</v>
      </c>
      <c r="D845" s="362" t="s">
        <v>3490</v>
      </c>
      <c r="E845" s="68" t="s">
        <v>3491</v>
      </c>
      <c r="F845" s="67">
        <v>2</v>
      </c>
      <c r="G845" s="67" t="s">
        <v>3362</v>
      </c>
      <c r="H845" s="69">
        <v>45236</v>
      </c>
      <c r="I845" s="69" t="s">
        <v>1086</v>
      </c>
      <c r="J845" s="69" t="s">
        <v>78</v>
      </c>
      <c r="K845" s="67">
        <f>IFERROR(VLOOKUP(J845,Jueces!$A$1:$B$11,2,FALSE),"")</f>
        <v>8</v>
      </c>
      <c r="L845" s="67" t="s">
        <v>807</v>
      </c>
      <c r="M845" s="67" t="s">
        <v>692</v>
      </c>
      <c r="N845" s="67" t="s">
        <v>3124</v>
      </c>
      <c r="O845" s="67" t="str">
        <f t="shared" ca="1" si="48"/>
        <v>SI</v>
      </c>
      <c r="P845" s="67" t="str">
        <f t="shared" si="50"/>
        <v>DIANOSOL</v>
      </c>
      <c r="Q845" s="67" t="s">
        <v>905</v>
      </c>
      <c r="R845" s="67" t="str">
        <f>VLOOKUP($Q845,Resultados!$A$1:$B$49,2,FALSE)</f>
        <v>Juicio Abreviado</v>
      </c>
      <c r="S845" s="67" t="s">
        <v>1569</v>
      </c>
      <c r="T845" s="77" t="str">
        <f t="shared" si="49"/>
        <v>NO</v>
      </c>
      <c r="U845" s="77"/>
      <c r="V845" s="67"/>
      <c r="W845" s="67" t="s">
        <v>1599</v>
      </c>
      <c r="X845" s="155" t="s">
        <v>3891</v>
      </c>
      <c r="Y845" s="67"/>
      <c r="Z845" s="67"/>
      <c r="AA845" s="123" t="s">
        <v>3421</v>
      </c>
      <c r="AB845" s="123" t="s">
        <v>3297</v>
      </c>
      <c r="AC845" s="379" t="s">
        <v>1799</v>
      </c>
    </row>
    <row r="846" spans="1:29" ht="39.950000000000003" customHeight="1">
      <c r="A846" s="67">
        <v>875</v>
      </c>
      <c r="B846" s="69">
        <v>45224</v>
      </c>
      <c r="C846" s="74">
        <v>0.49444444444444446</v>
      </c>
      <c r="D846" s="67" t="s">
        <v>3605</v>
      </c>
      <c r="E846" s="68" t="s">
        <v>3606</v>
      </c>
      <c r="F846" s="67">
        <v>2</v>
      </c>
      <c r="G846" s="67" t="s">
        <v>283</v>
      </c>
      <c r="H846" s="69">
        <v>45236</v>
      </c>
      <c r="I846" s="69" t="s">
        <v>1086</v>
      </c>
      <c r="J846" s="69" t="s">
        <v>1220</v>
      </c>
      <c r="K846" s="67" t="s">
        <v>1924</v>
      </c>
      <c r="L846" s="67" t="s">
        <v>2734</v>
      </c>
      <c r="M846" s="7" t="s">
        <v>2002</v>
      </c>
      <c r="N846" s="67" t="s">
        <v>3887</v>
      </c>
      <c r="O846" s="67" t="str">
        <f t="shared" ref="O846:O909" ca="1" si="51">IF(H846&lt;&gt;"",IF(H846&lt;=TODAY(),"SI","NO"),"LIMBO")</f>
        <v>SI</v>
      </c>
      <c r="P846" s="67" t="str">
        <f t="shared" si="50"/>
        <v>DIANOSOL</v>
      </c>
      <c r="Q846" s="67" t="s">
        <v>151</v>
      </c>
      <c r="R846" s="67" t="str">
        <f>VLOOKUP($Q846,Resultados!$A$1:$B$49,2,FALSE)</f>
        <v>Prisión Preventiva</v>
      </c>
      <c r="S846" s="67" t="s">
        <v>1167</v>
      </c>
      <c r="T846" s="77" t="str">
        <f t="shared" si="49"/>
        <v>NO</v>
      </c>
      <c r="U846" s="77"/>
      <c r="V846" s="67"/>
      <c r="W846" s="67" t="s">
        <v>2592</v>
      </c>
      <c r="X846" s="67" t="s">
        <v>3888</v>
      </c>
      <c r="Y846" s="67"/>
      <c r="Z846" s="67"/>
      <c r="AA846" s="123" t="s">
        <v>2892</v>
      </c>
      <c r="AB846" s="123" t="s">
        <v>1174</v>
      </c>
      <c r="AC846" s="379"/>
    </row>
    <row r="847" spans="1:29" ht="39.950000000000003" customHeight="1">
      <c r="A847" s="67">
        <v>877</v>
      </c>
      <c r="B847" s="69">
        <v>45224</v>
      </c>
      <c r="C847" s="74">
        <v>0.55138888888888882</v>
      </c>
      <c r="D847" s="67" t="s">
        <v>3615</v>
      </c>
      <c r="E847" s="68" t="s">
        <v>3617</v>
      </c>
      <c r="F847" s="67">
        <v>6</v>
      </c>
      <c r="G847" s="67" t="s">
        <v>1441</v>
      </c>
      <c r="H847" s="69">
        <v>45236</v>
      </c>
      <c r="I847" s="69" t="s">
        <v>1086</v>
      </c>
      <c r="J847" s="69" t="s">
        <v>1224</v>
      </c>
      <c r="K847" s="67">
        <f>IFERROR(VLOOKUP(J847,Jueces!$A$1:$B$11,2,FALSE),"")</f>
        <v>6</v>
      </c>
      <c r="L847" s="67" t="s">
        <v>2086</v>
      </c>
      <c r="M847" s="155" t="s">
        <v>3616</v>
      </c>
      <c r="N847" s="67" t="s">
        <v>3889</v>
      </c>
      <c r="O847" s="67" t="str">
        <f t="shared" ca="1" si="51"/>
        <v>SI</v>
      </c>
      <c r="P847" s="67" t="str">
        <f t="shared" si="50"/>
        <v>DIANOSOL</v>
      </c>
      <c r="Q847" s="67" t="s">
        <v>151</v>
      </c>
      <c r="R847" s="67" t="str">
        <f>VLOOKUP($Q847,Resultados!$A$1:$B$49,2,FALSE)</f>
        <v>Prisión Preventiva</v>
      </c>
      <c r="S847" s="67" t="s">
        <v>2074</v>
      </c>
      <c r="T847" s="77" t="str">
        <f t="shared" si="49"/>
        <v>NO</v>
      </c>
      <c r="U847" s="77"/>
      <c r="V847" s="67"/>
      <c r="W847" s="67" t="s">
        <v>1309</v>
      </c>
      <c r="X847" s="233" t="s">
        <v>3890</v>
      </c>
      <c r="Y847" s="67"/>
      <c r="Z847" s="67"/>
      <c r="AA847" s="123" t="s">
        <v>3421</v>
      </c>
      <c r="AB847" s="123" t="s">
        <v>1172</v>
      </c>
      <c r="AC847" s="379"/>
    </row>
    <row r="848" spans="1:29" ht="39.950000000000003" customHeight="1">
      <c r="A848" s="67">
        <v>897</v>
      </c>
      <c r="B848" s="69"/>
      <c r="C848" s="74">
        <v>0.3840277777777778</v>
      </c>
      <c r="D848" s="67" t="s">
        <v>3384</v>
      </c>
      <c r="E848" s="68" t="s">
        <v>3385</v>
      </c>
      <c r="F848" s="67">
        <v>1</v>
      </c>
      <c r="G848" s="67" t="s">
        <v>1442</v>
      </c>
      <c r="H848" s="69">
        <v>45236</v>
      </c>
      <c r="I848" s="69" t="s">
        <v>1086</v>
      </c>
      <c r="J848" s="69" t="s">
        <v>1219</v>
      </c>
      <c r="K848" s="67">
        <f>IFERROR(VLOOKUP(J848,Jueces!$A$1:$B$11,2,FALSE),"")</f>
        <v>1</v>
      </c>
      <c r="L848" s="67" t="s">
        <v>829</v>
      </c>
      <c r="M848" s="67" t="s">
        <v>712</v>
      </c>
      <c r="N848" s="67" t="s">
        <v>3892</v>
      </c>
      <c r="O848" s="83" t="str">
        <f t="shared" ca="1" si="51"/>
        <v>SI</v>
      </c>
      <c r="P848" s="83" t="str">
        <f t="shared" si="50"/>
        <v>DIANOSOL</v>
      </c>
      <c r="Q848" s="67" t="s">
        <v>911</v>
      </c>
      <c r="R848" s="67" t="str">
        <f>VLOOKUP($Q848,Resultados!$A$1:$B$49,2,FALSE)</f>
        <v>Suspendida</v>
      </c>
      <c r="S848" s="67" t="s">
        <v>1449</v>
      </c>
      <c r="T848" s="86" t="str">
        <f t="shared" si="49"/>
        <v>NO</v>
      </c>
      <c r="U848" s="86"/>
      <c r="V848" s="83"/>
      <c r="W848" s="67" t="s">
        <v>1228</v>
      </c>
      <c r="X848" s="229" t="s">
        <v>3893</v>
      </c>
      <c r="Y848" s="67"/>
      <c r="Z848" s="67"/>
      <c r="AA848" s="123" t="s">
        <v>3422</v>
      </c>
      <c r="AB848" s="123" t="s">
        <v>3361</v>
      </c>
      <c r="AC848" s="379"/>
    </row>
    <row r="849" spans="1:29" ht="39.950000000000003" customHeight="1">
      <c r="A849" s="67">
        <v>828</v>
      </c>
      <c r="B849" s="69">
        <v>45217</v>
      </c>
      <c r="C849" s="74">
        <v>0.36944444444444446</v>
      </c>
      <c r="D849" s="67" t="s">
        <v>3454</v>
      </c>
      <c r="E849" s="68" t="s">
        <v>3455</v>
      </c>
      <c r="F849" s="67">
        <v>2</v>
      </c>
      <c r="G849" s="67" t="s">
        <v>2785</v>
      </c>
      <c r="H849" s="69">
        <v>45237</v>
      </c>
      <c r="I849" s="69" t="s">
        <v>73</v>
      </c>
      <c r="J849" s="69" t="s">
        <v>2951</v>
      </c>
      <c r="K849" s="67" t="s">
        <v>1924</v>
      </c>
      <c r="L849" s="67" t="s">
        <v>798</v>
      </c>
      <c r="M849" s="67" t="s">
        <v>692</v>
      </c>
      <c r="N849" s="67" t="s">
        <v>3095</v>
      </c>
      <c r="O849" s="83" t="str">
        <f t="shared" ca="1" si="51"/>
        <v>SI</v>
      </c>
      <c r="P849" s="83" t="str">
        <f t="shared" si="50"/>
        <v>DIANOSOL</v>
      </c>
      <c r="Q849" s="67" t="s">
        <v>904</v>
      </c>
      <c r="R849" s="67" t="str">
        <f>VLOOKUP($Q849,Resultados!$A$1:$B$49,2,FALSE)</f>
        <v>Juicio Abreviado</v>
      </c>
      <c r="S849" s="67" t="s">
        <v>686</v>
      </c>
      <c r="T849" s="86" t="str">
        <f t="shared" si="49"/>
        <v>NO</v>
      </c>
      <c r="U849" s="86"/>
      <c r="V849" s="83"/>
      <c r="W849" s="67" t="s">
        <v>2058</v>
      </c>
      <c r="X849" s="67" t="s">
        <v>2568</v>
      </c>
      <c r="Y849" s="123" t="s">
        <v>3410</v>
      </c>
      <c r="Z849" s="123" t="s">
        <v>1176</v>
      </c>
      <c r="AA849" s="123" t="s">
        <v>3422</v>
      </c>
      <c r="AB849" s="67"/>
      <c r="AC849" s="379"/>
    </row>
    <row r="850" spans="1:29" ht="39.950000000000003" customHeight="1">
      <c r="A850" s="67">
        <v>863</v>
      </c>
      <c r="B850" s="69">
        <v>45222</v>
      </c>
      <c r="C850" s="74">
        <v>0.42222222222222222</v>
      </c>
      <c r="D850" s="67" t="s">
        <v>3554</v>
      </c>
      <c r="E850" s="68" t="s">
        <v>3555</v>
      </c>
      <c r="F850" s="67">
        <v>2</v>
      </c>
      <c r="G850" s="67" t="s">
        <v>1441</v>
      </c>
      <c r="H850" s="69">
        <v>45237</v>
      </c>
      <c r="I850" s="69" t="s">
        <v>73</v>
      </c>
      <c r="J850" s="69" t="s">
        <v>31</v>
      </c>
      <c r="K850" s="67">
        <f>IFERROR(VLOOKUP(J850,Jueces!$A$1:$B$11,2,FALSE),"")</f>
        <v>2</v>
      </c>
      <c r="L850" s="67" t="s">
        <v>800</v>
      </c>
      <c r="M850" s="67" t="s">
        <v>693</v>
      </c>
      <c r="N850" s="67" t="s">
        <v>3941</v>
      </c>
      <c r="O850" s="83" t="str">
        <f t="shared" ca="1" si="51"/>
        <v>SI</v>
      </c>
      <c r="P850" s="83" t="str">
        <f t="shared" si="50"/>
        <v>DIANOSOL</v>
      </c>
      <c r="Q850" s="67" t="s">
        <v>905</v>
      </c>
      <c r="R850" s="67" t="str">
        <f>VLOOKUP($Q850,Resultados!$A$1:$B$49,2,FALSE)</f>
        <v>Juicio Abreviado</v>
      </c>
      <c r="S850" s="67" t="s">
        <v>1086</v>
      </c>
      <c r="T850" s="86" t="str">
        <f t="shared" si="49"/>
        <v>NO</v>
      </c>
      <c r="U850" s="86"/>
      <c r="V850" s="83"/>
      <c r="W850" s="67" t="s">
        <v>1233</v>
      </c>
      <c r="X850" s="67" t="s">
        <v>3942</v>
      </c>
      <c r="Y850" s="123" t="s">
        <v>748</v>
      </c>
      <c r="Z850" s="123" t="s">
        <v>1173</v>
      </c>
      <c r="AA850" s="123" t="s">
        <v>2892</v>
      </c>
      <c r="AB850" s="67"/>
      <c r="AC850" s="379"/>
    </row>
    <row r="851" spans="1:29" ht="39.950000000000003" customHeight="1">
      <c r="A851" s="67">
        <v>871</v>
      </c>
      <c r="B851" s="69">
        <v>45224</v>
      </c>
      <c r="C851" s="74">
        <v>0.34861111111111115</v>
      </c>
      <c r="D851" s="67" t="s">
        <v>3597</v>
      </c>
      <c r="E851" s="68" t="s">
        <v>3598</v>
      </c>
      <c r="F851" s="67">
        <v>2</v>
      </c>
      <c r="G851" s="67" t="s">
        <v>3362</v>
      </c>
      <c r="H851" s="69">
        <v>45237</v>
      </c>
      <c r="I851" s="69" t="s">
        <v>73</v>
      </c>
      <c r="J851" s="69" t="s">
        <v>35</v>
      </c>
      <c r="K851" s="67">
        <f>IFERROR(VLOOKUP(J851,Jueces!$A$1:$B$11,2,FALSE),"")</f>
        <v>3</v>
      </c>
      <c r="L851" s="67" t="s">
        <v>1700</v>
      </c>
      <c r="M851" s="385" t="s">
        <v>697</v>
      </c>
      <c r="N851" s="67" t="s">
        <v>3943</v>
      </c>
      <c r="O851" s="83" t="str">
        <f t="shared" ca="1" si="51"/>
        <v>SI</v>
      </c>
      <c r="P851" s="83" t="str">
        <f t="shared" si="50"/>
        <v>DIANOSOL</v>
      </c>
      <c r="Q851" s="67" t="s">
        <v>899</v>
      </c>
      <c r="R851" s="67" t="str">
        <f>VLOOKUP($Q851,Resultados!$A$1:$B$49,2,FALSE)</f>
        <v>Libertad</v>
      </c>
      <c r="S851" s="67" t="s">
        <v>1298</v>
      </c>
      <c r="T851" s="86" t="str">
        <f t="shared" si="49"/>
        <v>NO</v>
      </c>
      <c r="U851" s="86"/>
      <c r="V851" s="83"/>
      <c r="W851" s="67" t="s">
        <v>2901</v>
      </c>
      <c r="X851" s="67" t="s">
        <v>3944</v>
      </c>
      <c r="Y851" s="123" t="s">
        <v>1041</v>
      </c>
      <c r="Z851" s="123" t="s">
        <v>3297</v>
      </c>
      <c r="AA851" s="123" t="s">
        <v>2849</v>
      </c>
      <c r="AB851" s="67"/>
      <c r="AC851" s="379"/>
    </row>
    <row r="852" spans="1:29" ht="39.950000000000003" customHeight="1">
      <c r="A852" s="67">
        <v>873</v>
      </c>
      <c r="B852" s="69">
        <v>45224</v>
      </c>
      <c r="C852" s="74">
        <v>0.43194444444444446</v>
      </c>
      <c r="D852" s="67" t="s">
        <v>3603</v>
      </c>
      <c r="E852" s="68" t="s">
        <v>3639</v>
      </c>
      <c r="F852" s="67">
        <v>2</v>
      </c>
      <c r="G852" s="67" t="s">
        <v>1440</v>
      </c>
      <c r="H852" s="69">
        <v>45237</v>
      </c>
      <c r="I852" s="69" t="s">
        <v>73</v>
      </c>
      <c r="J852" s="69" t="s">
        <v>1730</v>
      </c>
      <c r="K852" s="67" t="s">
        <v>2340</v>
      </c>
      <c r="L852" s="67" t="s">
        <v>802</v>
      </c>
      <c r="M852" s="67" t="s">
        <v>694</v>
      </c>
      <c r="N852" s="67" t="s">
        <v>3190</v>
      </c>
      <c r="O852" s="83" t="str">
        <f t="shared" ca="1" si="51"/>
        <v>SI</v>
      </c>
      <c r="P852" s="83" t="str">
        <f t="shared" si="50"/>
        <v>DIANOSOL</v>
      </c>
      <c r="Q852" s="67" t="s">
        <v>904</v>
      </c>
      <c r="R852" s="67" t="s">
        <v>100</v>
      </c>
      <c r="S852" s="67" t="s">
        <v>1295</v>
      </c>
      <c r="T852" s="86" t="str">
        <f t="shared" si="49"/>
        <v>SI</v>
      </c>
      <c r="U852" s="86"/>
      <c r="V852" s="83"/>
      <c r="W852" s="67" t="s">
        <v>1457</v>
      </c>
      <c r="X852" s="67" t="s">
        <v>3950</v>
      </c>
      <c r="Y852" s="123" t="s">
        <v>770</v>
      </c>
      <c r="Z852" s="123" t="s">
        <v>1172</v>
      </c>
      <c r="AA852" s="123" t="s">
        <v>3693</v>
      </c>
      <c r="AB852" s="67"/>
      <c r="AC852" s="379"/>
    </row>
    <row r="853" spans="1:29" ht="39.950000000000003" customHeight="1">
      <c r="A853" s="67">
        <v>849</v>
      </c>
      <c r="B853" s="69">
        <v>45219</v>
      </c>
      <c r="C853" s="74">
        <v>0.3923611111111111</v>
      </c>
      <c r="D853" s="67" t="s">
        <v>3516</v>
      </c>
      <c r="E853" s="68" t="s">
        <v>3858</v>
      </c>
      <c r="F853" s="67">
        <v>2</v>
      </c>
      <c r="G853" s="67" t="s">
        <v>568</v>
      </c>
      <c r="H853" s="69">
        <v>45237</v>
      </c>
      <c r="I853" s="69" t="s">
        <v>1086</v>
      </c>
      <c r="J853" s="69" t="s">
        <v>1220</v>
      </c>
      <c r="K853" s="67" t="s">
        <v>1924</v>
      </c>
      <c r="L853" s="67" t="s">
        <v>798</v>
      </c>
      <c r="M853" s="67" t="s">
        <v>1289</v>
      </c>
      <c r="N853" s="67" t="s">
        <v>3945</v>
      </c>
      <c r="O853" s="83" t="str">
        <f t="shared" ca="1" si="51"/>
        <v>SI</v>
      </c>
      <c r="P853" s="83" t="str">
        <f t="shared" si="50"/>
        <v>DIANOSOL</v>
      </c>
      <c r="Q853" s="67" t="s">
        <v>151</v>
      </c>
      <c r="R853" s="67" t="str">
        <f>VLOOKUP($Q853,Resultados!$A$1:$B$49,2,FALSE)</f>
        <v>Prisión Preventiva</v>
      </c>
      <c r="S853" s="67" t="s">
        <v>1395</v>
      </c>
      <c r="T853" s="86" t="str">
        <f t="shared" ref="T853:T916" si="52">IF(G853=$J$1,"SI","NO")</f>
        <v>NO</v>
      </c>
      <c r="U853" s="86"/>
      <c r="V853" s="83"/>
      <c r="W853" s="67" t="s">
        <v>1464</v>
      </c>
      <c r="X853" s="67" t="s">
        <v>3193</v>
      </c>
      <c r="Y853" s="123" t="s">
        <v>3410</v>
      </c>
      <c r="Z853" s="123" t="s">
        <v>3361</v>
      </c>
      <c r="AA853" s="123" t="s">
        <v>3422</v>
      </c>
      <c r="AB853" s="67"/>
      <c r="AC853" s="379"/>
    </row>
    <row r="854" spans="1:29" ht="39.950000000000003" customHeight="1">
      <c r="A854" s="67">
        <v>850</v>
      </c>
      <c r="B854" s="69">
        <v>45219</v>
      </c>
      <c r="C854" s="74">
        <v>0.38819444444444445</v>
      </c>
      <c r="D854" s="67" t="s">
        <v>3518</v>
      </c>
      <c r="E854" s="68" t="s">
        <v>3517</v>
      </c>
      <c r="F854" s="67">
        <v>3</v>
      </c>
      <c r="G854" s="67" t="s">
        <v>1442</v>
      </c>
      <c r="H854" s="69">
        <v>45237</v>
      </c>
      <c r="I854" s="69" t="s">
        <v>1086</v>
      </c>
      <c r="J854" s="69" t="s">
        <v>78</v>
      </c>
      <c r="K854" s="67">
        <f>IFERROR(VLOOKUP(J854,Jueces!$A$1:$B$11,2,FALSE),"")</f>
        <v>8</v>
      </c>
      <c r="L854" s="67" t="s">
        <v>809</v>
      </c>
      <c r="M854" s="67" t="s">
        <v>694</v>
      </c>
      <c r="N854" s="67" t="s">
        <v>2583</v>
      </c>
      <c r="O854" s="83" t="str">
        <f t="shared" ca="1" si="51"/>
        <v>SI</v>
      </c>
      <c r="P854" s="83" t="str">
        <f t="shared" si="50"/>
        <v>DIANOSOL</v>
      </c>
      <c r="Q854" s="67" t="s">
        <v>904</v>
      </c>
      <c r="R854" s="67" t="str">
        <f>VLOOKUP($Q854,Resultados!$A$1:$B$49,2,FALSE)</f>
        <v>Juicio Abreviado</v>
      </c>
      <c r="S854" s="74">
        <v>0.38958333333333334</v>
      </c>
      <c r="T854" s="86" t="str">
        <f t="shared" si="52"/>
        <v>NO</v>
      </c>
      <c r="U854" s="86"/>
      <c r="V854" s="83"/>
      <c r="W854" s="67" t="s">
        <v>2901</v>
      </c>
      <c r="X854" s="67" t="s">
        <v>3237</v>
      </c>
      <c r="Y854" s="123" t="s">
        <v>770</v>
      </c>
      <c r="Z854" s="123" t="s">
        <v>1174</v>
      </c>
      <c r="AA854" s="123" t="s">
        <v>1170</v>
      </c>
      <c r="AB854" s="67"/>
      <c r="AC854" s="379"/>
    </row>
    <row r="855" spans="1:29" ht="39.950000000000003" customHeight="1">
      <c r="A855" s="67">
        <v>879</v>
      </c>
      <c r="B855" s="69">
        <v>45222</v>
      </c>
      <c r="C855" s="74">
        <v>0.5229166666666667</v>
      </c>
      <c r="D855" s="67" t="s">
        <v>3620</v>
      </c>
      <c r="E855" s="68" t="s">
        <v>3621</v>
      </c>
      <c r="F855" s="67">
        <v>1</v>
      </c>
      <c r="G855" s="67" t="s">
        <v>2835</v>
      </c>
      <c r="H855" s="69">
        <v>45237</v>
      </c>
      <c r="I855" s="69" t="s">
        <v>1086</v>
      </c>
      <c r="J855" s="69" t="s">
        <v>1219</v>
      </c>
      <c r="K855" s="67">
        <f>IFERROR(VLOOKUP(J855,Jueces!$A$1:$B$11,2,FALSE),"")</f>
        <v>1</v>
      </c>
      <c r="L855" s="67" t="s">
        <v>813</v>
      </c>
      <c r="M855" s="67" t="s">
        <v>712</v>
      </c>
      <c r="N855" s="67" t="s">
        <v>3946</v>
      </c>
      <c r="O855" s="83" t="str">
        <f t="shared" ca="1" si="51"/>
        <v>SI</v>
      </c>
      <c r="P855" s="83" t="str">
        <f t="shared" si="50"/>
        <v>DIANOSOL</v>
      </c>
      <c r="Q855" s="67" t="s">
        <v>899</v>
      </c>
      <c r="R855" s="67" t="str">
        <f>VLOOKUP($Q855,Resultados!$A$1:$B$49,2,FALSE)</f>
        <v>Libertad</v>
      </c>
      <c r="S855" s="67" t="s">
        <v>1391</v>
      </c>
      <c r="T855" s="86" t="str">
        <f t="shared" si="52"/>
        <v>NO</v>
      </c>
      <c r="U855" s="86"/>
      <c r="V855" s="83"/>
      <c r="W855" s="67" t="s">
        <v>3567</v>
      </c>
      <c r="X855" s="67" t="s">
        <v>3947</v>
      </c>
      <c r="Y855" s="123" t="s">
        <v>743</v>
      </c>
      <c r="Z855" s="123" t="s">
        <v>1176</v>
      </c>
      <c r="AA855" s="123" t="s">
        <v>3421</v>
      </c>
      <c r="AB855" s="67"/>
      <c r="AC855" s="379"/>
    </row>
    <row r="856" spans="1:29" ht="39.950000000000003" customHeight="1">
      <c r="A856" s="67">
        <v>880</v>
      </c>
      <c r="B856" s="69">
        <v>45225</v>
      </c>
      <c r="C856" s="74">
        <v>0.37708333333333338</v>
      </c>
      <c r="D856" s="67" t="s">
        <v>3622</v>
      </c>
      <c r="E856" s="68" t="s">
        <v>3623</v>
      </c>
      <c r="F856" s="67">
        <v>3</v>
      </c>
      <c r="G856" s="67" t="s">
        <v>3363</v>
      </c>
      <c r="H856" s="69">
        <v>45237</v>
      </c>
      <c r="I856" s="69" t="s">
        <v>1086</v>
      </c>
      <c r="J856" s="69" t="s">
        <v>31</v>
      </c>
      <c r="K856" s="67">
        <f>IFERROR(VLOOKUP(J856,Jueces!$A$1:$B$11,2,FALSE),"")</f>
        <v>2</v>
      </c>
      <c r="L856" s="67" t="s">
        <v>799</v>
      </c>
      <c r="M856" s="67" t="s">
        <v>695</v>
      </c>
      <c r="N856" s="67" t="s">
        <v>2196</v>
      </c>
      <c r="O856" s="83" t="str">
        <f t="shared" ca="1" si="51"/>
        <v>SI</v>
      </c>
      <c r="P856" s="83" t="str">
        <f t="shared" si="50"/>
        <v>DIANOSOL</v>
      </c>
      <c r="Q856" s="67" t="s">
        <v>904</v>
      </c>
      <c r="R856" s="67" t="str">
        <f>VLOOKUP($Q856,Resultados!$A$1:$B$49,2,FALSE)</f>
        <v>Juicio Abreviado</v>
      </c>
      <c r="S856" s="67" t="s">
        <v>2614</v>
      </c>
      <c r="T856" s="86" t="str">
        <f t="shared" si="52"/>
        <v>NO</v>
      </c>
      <c r="U856" s="86"/>
      <c r="V856" s="83"/>
      <c r="W856" s="67" t="s">
        <v>1464</v>
      </c>
      <c r="X856" s="67" t="s">
        <v>3193</v>
      </c>
      <c r="Y856" s="123" t="s">
        <v>748</v>
      </c>
      <c r="Z856" s="123" t="s">
        <v>1173</v>
      </c>
      <c r="AA856" s="123" t="s">
        <v>1170</v>
      </c>
      <c r="AB856" s="67"/>
      <c r="AC856" s="379"/>
    </row>
    <row r="857" spans="1:29" ht="39.950000000000003" customHeight="1">
      <c r="A857" s="67">
        <v>854</v>
      </c>
      <c r="B857" s="69">
        <v>45217</v>
      </c>
      <c r="C857" s="74">
        <v>0.34930555555555554</v>
      </c>
      <c r="D857" s="67" t="s">
        <v>3537</v>
      </c>
      <c r="E857" s="68" t="s">
        <v>3538</v>
      </c>
      <c r="F857" s="67">
        <v>1</v>
      </c>
      <c r="G857" s="67" t="s">
        <v>1441</v>
      </c>
      <c r="H857" s="69">
        <v>45238</v>
      </c>
      <c r="I857" s="69" t="s">
        <v>73</v>
      </c>
      <c r="J857" s="69" t="s">
        <v>1220</v>
      </c>
      <c r="K857" s="67">
        <v>2</v>
      </c>
      <c r="L857" s="67" t="s">
        <v>2428</v>
      </c>
      <c r="M857" s="67" t="s">
        <v>1289</v>
      </c>
      <c r="N857" s="67" t="s">
        <v>3978</v>
      </c>
      <c r="O857" s="83" t="str">
        <f t="shared" ca="1" si="51"/>
        <v>SI</v>
      </c>
      <c r="P857" s="83" t="str">
        <f t="shared" si="50"/>
        <v>DIANOSOL</v>
      </c>
      <c r="Q857" s="67" t="s">
        <v>151</v>
      </c>
      <c r="R857" s="67" t="str">
        <f>VLOOKUP($Q857,Resultados!$A$1:$B$49,2,FALSE)</f>
        <v>Prisión Preventiva</v>
      </c>
      <c r="S857" s="67" t="s">
        <v>1234</v>
      </c>
      <c r="T857" s="86" t="str">
        <f t="shared" si="52"/>
        <v>NO</v>
      </c>
      <c r="U857" s="86"/>
      <c r="V857" s="83"/>
      <c r="W857" s="67" t="s">
        <v>1496</v>
      </c>
      <c r="X857" s="67"/>
      <c r="Y857" s="67"/>
      <c r="Z857" s="341" t="s">
        <v>743</v>
      </c>
      <c r="AA857" s="341" t="s">
        <v>3422</v>
      </c>
      <c r="AB857" s="341" t="s">
        <v>3297</v>
      </c>
      <c r="AC857" s="379"/>
    </row>
    <row r="858" spans="1:29" ht="39.950000000000003" customHeight="1">
      <c r="A858" s="67">
        <v>868</v>
      </c>
      <c r="B858" s="69">
        <v>45222</v>
      </c>
      <c r="C858" s="74">
        <v>0.47916666666666669</v>
      </c>
      <c r="D858" s="67" t="s">
        <v>3571</v>
      </c>
      <c r="E858" s="68" t="s">
        <v>3572</v>
      </c>
      <c r="F858" s="67">
        <v>2</v>
      </c>
      <c r="G858" s="67" t="s">
        <v>2785</v>
      </c>
      <c r="H858" s="69">
        <v>45238</v>
      </c>
      <c r="I858" s="69" t="s">
        <v>73</v>
      </c>
      <c r="J858" s="69" t="s">
        <v>78</v>
      </c>
      <c r="K858" s="67">
        <f>IFERROR(VLOOKUP(J858,Jueces!$A$1:$B$11,2,FALSE),"")</f>
        <v>8</v>
      </c>
      <c r="L858" s="67" t="s">
        <v>806</v>
      </c>
      <c r="M858" s="67" t="s">
        <v>2047</v>
      </c>
      <c r="N858" s="67" t="s">
        <v>3975</v>
      </c>
      <c r="O858" s="83" t="str">
        <f t="shared" ca="1" si="51"/>
        <v>SI</v>
      </c>
      <c r="P858" s="83" t="str">
        <f t="shared" si="50"/>
        <v>DIANOSOL</v>
      </c>
      <c r="Q858" s="67" t="s">
        <v>151</v>
      </c>
      <c r="R858" s="67" t="str">
        <f>VLOOKUP($Q858,Resultados!$A$1:$B$49,2,FALSE)</f>
        <v>Prisión Preventiva</v>
      </c>
      <c r="S858" s="67" t="s">
        <v>1390</v>
      </c>
      <c r="T858" s="86" t="str">
        <f t="shared" si="52"/>
        <v>NO</v>
      </c>
      <c r="U858" s="86"/>
      <c r="V858" s="83"/>
      <c r="W858" s="67" t="s">
        <v>1006</v>
      </c>
      <c r="X858" s="229" t="s">
        <v>3976</v>
      </c>
      <c r="Y858" s="67"/>
      <c r="Z858" s="341" t="s">
        <v>748</v>
      </c>
      <c r="AA858" s="341" t="s">
        <v>2892</v>
      </c>
      <c r="AB858" s="341" t="s">
        <v>3935</v>
      </c>
      <c r="AC858" s="379"/>
    </row>
    <row r="859" spans="1:29" ht="39.950000000000003" customHeight="1">
      <c r="A859" s="67">
        <v>870</v>
      </c>
      <c r="B859" s="69">
        <v>45223</v>
      </c>
      <c r="C859" s="74">
        <v>0.33333333333333331</v>
      </c>
      <c r="D859" s="67" t="s">
        <v>3584</v>
      </c>
      <c r="E859" s="68" t="s">
        <v>3628</v>
      </c>
      <c r="F859" s="67">
        <v>3</v>
      </c>
      <c r="G859" s="67" t="s">
        <v>1440</v>
      </c>
      <c r="H859" s="69">
        <v>45238</v>
      </c>
      <c r="I859" s="69" t="s">
        <v>73</v>
      </c>
      <c r="J859" s="69" t="s">
        <v>1730</v>
      </c>
      <c r="K859" s="67" t="s">
        <v>1924</v>
      </c>
      <c r="L859" s="67" t="s">
        <v>791</v>
      </c>
      <c r="M859" s="67" t="s">
        <v>694</v>
      </c>
      <c r="N859" s="67" t="s">
        <v>3982</v>
      </c>
      <c r="O859" s="83" t="str">
        <f t="shared" ca="1" si="51"/>
        <v>SI</v>
      </c>
      <c r="P859" s="83" t="str">
        <f t="shared" si="50"/>
        <v>DIANOSOL</v>
      </c>
      <c r="Q859" s="67" t="s">
        <v>905</v>
      </c>
      <c r="R859" s="67" t="str">
        <f>VLOOKUP($Q859,Resultados!$A$1:$B$49,2,FALSE)</f>
        <v>Juicio Abreviado</v>
      </c>
      <c r="S859" s="67" t="s">
        <v>1014</v>
      </c>
      <c r="T859" s="86" t="str">
        <f t="shared" si="52"/>
        <v>SI</v>
      </c>
      <c r="U859" s="86"/>
      <c r="V859" s="83"/>
      <c r="W859" s="67" t="s">
        <v>1128</v>
      </c>
      <c r="X859" s="67"/>
      <c r="Y859" s="67"/>
      <c r="Z859" s="341" t="s">
        <v>770</v>
      </c>
      <c r="AA859" s="341" t="s">
        <v>1170</v>
      </c>
      <c r="AB859" s="341" t="s">
        <v>3361</v>
      </c>
      <c r="AC859" s="379"/>
    </row>
    <row r="860" spans="1:29" ht="39.950000000000003" customHeight="1">
      <c r="A860" s="67">
        <v>904</v>
      </c>
      <c r="B860" s="69">
        <v>45225</v>
      </c>
      <c r="C860" s="74">
        <v>0.51250000000000007</v>
      </c>
      <c r="D860" s="67" t="s">
        <v>3683</v>
      </c>
      <c r="E860" s="68" t="s">
        <v>3684</v>
      </c>
      <c r="F860" s="67">
        <v>8</v>
      </c>
      <c r="G860" s="67" t="s">
        <v>2835</v>
      </c>
      <c r="H860" s="69">
        <v>45238</v>
      </c>
      <c r="I860" s="69" t="s">
        <v>73</v>
      </c>
      <c r="J860" s="69" t="s">
        <v>35</v>
      </c>
      <c r="K860" s="67">
        <f>IFERROR(VLOOKUP(J860,Jueces!$A$1:$B$11,2,FALSE),"")</f>
        <v>3</v>
      </c>
      <c r="L860" s="67" t="s">
        <v>798</v>
      </c>
      <c r="M860" s="67" t="s">
        <v>3016</v>
      </c>
      <c r="N860" s="67" t="s">
        <v>3974</v>
      </c>
      <c r="O860" s="83" t="str">
        <f t="shared" ca="1" si="51"/>
        <v>SI</v>
      </c>
      <c r="P860" s="83" t="str">
        <f t="shared" si="50"/>
        <v>DIANOSOL</v>
      </c>
      <c r="Q860" s="67" t="s">
        <v>912</v>
      </c>
      <c r="R860" s="67" t="str">
        <f>VLOOKUP($Q860,Resultados!$A$1:$B$49,2,FALSE)</f>
        <v>Suspendida</v>
      </c>
      <c r="S860" s="74">
        <v>0.3527777777777778</v>
      </c>
      <c r="T860" s="86" t="str">
        <f t="shared" si="52"/>
        <v>NO</v>
      </c>
      <c r="U860" s="86"/>
      <c r="V860" s="83"/>
      <c r="W860" s="74">
        <v>0.37083333333333335</v>
      </c>
      <c r="X860" s="229" t="s">
        <v>3979</v>
      </c>
      <c r="Y860" s="67"/>
      <c r="Z860" s="341" t="s">
        <v>3952</v>
      </c>
      <c r="AA860" s="341" t="s">
        <v>3421</v>
      </c>
      <c r="AB860" s="341" t="s">
        <v>1176</v>
      </c>
      <c r="AC860" s="379"/>
    </row>
    <row r="861" spans="1:29" ht="39.950000000000003" customHeight="1">
      <c r="A861" s="67">
        <v>923</v>
      </c>
      <c r="B861" s="69">
        <v>45231</v>
      </c>
      <c r="C861" s="74">
        <v>0.4381944444444445</v>
      </c>
      <c r="D861" s="67" t="s">
        <v>3772</v>
      </c>
      <c r="E861" s="68" t="s">
        <v>3773</v>
      </c>
      <c r="F861" s="67">
        <v>3</v>
      </c>
      <c r="G861" s="67" t="s">
        <v>3363</v>
      </c>
      <c r="H861" s="69">
        <v>45238</v>
      </c>
      <c r="I861" s="69" t="s">
        <v>73</v>
      </c>
      <c r="J861" s="69" t="s">
        <v>2948</v>
      </c>
      <c r="K861" s="67">
        <v>1</v>
      </c>
      <c r="L861" s="67" t="s">
        <v>812</v>
      </c>
      <c r="M861" s="67" t="s">
        <v>695</v>
      </c>
      <c r="N861" s="67" t="s">
        <v>3972</v>
      </c>
      <c r="O861" s="83" t="str">
        <f t="shared" ca="1" si="51"/>
        <v>SI</v>
      </c>
      <c r="P861" s="83" t="str">
        <f t="shared" si="50"/>
        <v>DIANOSOL</v>
      </c>
      <c r="Q861" s="67" t="s">
        <v>151</v>
      </c>
      <c r="R861" s="67" t="str">
        <f>VLOOKUP($Q861,Resultados!$A$1:$B$49,2,FALSE)</f>
        <v>Prisión Preventiva</v>
      </c>
      <c r="S861" s="67" t="s">
        <v>2552</v>
      </c>
      <c r="T861" s="86" t="str">
        <f t="shared" si="52"/>
        <v>NO</v>
      </c>
      <c r="U861" s="86"/>
      <c r="V861" s="83"/>
      <c r="W861" s="67" t="s">
        <v>1611</v>
      </c>
      <c r="X861" s="229" t="s">
        <v>3973</v>
      </c>
      <c r="Y861" s="67"/>
      <c r="Z861" s="341" t="s">
        <v>3410</v>
      </c>
      <c r="AA861" s="341" t="s">
        <v>2849</v>
      </c>
      <c r="AB861" s="341" t="s">
        <v>1173</v>
      </c>
      <c r="AC861" s="379"/>
    </row>
    <row r="862" spans="1:29" ht="39.950000000000003" customHeight="1">
      <c r="A862" s="67">
        <v>872</v>
      </c>
      <c r="B862" s="69">
        <v>45223</v>
      </c>
      <c r="C862" s="74">
        <v>0.49513888888888885</v>
      </c>
      <c r="D862" s="67" t="s">
        <v>3591</v>
      </c>
      <c r="E862" s="68" t="s">
        <v>3636</v>
      </c>
      <c r="F862" s="67">
        <v>3</v>
      </c>
      <c r="G862" s="67" t="s">
        <v>3362</v>
      </c>
      <c r="H862" s="69">
        <v>45238</v>
      </c>
      <c r="I862" s="69" t="s">
        <v>1086</v>
      </c>
      <c r="J862" s="69" t="s">
        <v>78</v>
      </c>
      <c r="K862" s="67">
        <f>IFERROR(VLOOKUP(J862,Jueces!$A$1:$B$11,2,FALSE),"")</f>
        <v>8</v>
      </c>
      <c r="L862" s="67" t="s">
        <v>799</v>
      </c>
      <c r="M862" s="67" t="s">
        <v>694</v>
      </c>
      <c r="N862" s="67" t="s">
        <v>3970</v>
      </c>
      <c r="O862" s="83" t="str">
        <f t="shared" ca="1" si="51"/>
        <v>SI</v>
      </c>
      <c r="P862" s="83" t="str">
        <f t="shared" si="50"/>
        <v>DIANOSOL</v>
      </c>
      <c r="Q862" s="67" t="s">
        <v>904</v>
      </c>
      <c r="R862" s="67" t="str">
        <f>VLOOKUP($Q862,Resultados!$A$1:$B$49,2,FALSE)</f>
        <v>Juicio Abreviado</v>
      </c>
      <c r="S862" s="67" t="s">
        <v>1192</v>
      </c>
      <c r="T862" s="86" t="str">
        <f t="shared" si="52"/>
        <v>NO</v>
      </c>
      <c r="U862" s="86"/>
      <c r="V862" s="83"/>
      <c r="W862" s="67" t="s">
        <v>2614</v>
      </c>
      <c r="X862" s="234" t="s">
        <v>3971</v>
      </c>
      <c r="Y862" s="67"/>
      <c r="Z862" s="341" t="s">
        <v>748</v>
      </c>
      <c r="AA862" s="341" t="s">
        <v>3421</v>
      </c>
      <c r="AB862" s="341" t="s">
        <v>3297</v>
      </c>
      <c r="AC862" s="379"/>
    </row>
    <row r="863" spans="1:29" ht="39.950000000000003" customHeight="1">
      <c r="A863" s="67">
        <v>884</v>
      </c>
      <c r="B863" s="69">
        <v>45225</v>
      </c>
      <c r="C863" s="74">
        <v>0.40486111111111112</v>
      </c>
      <c r="D863" s="67" t="s">
        <v>3632</v>
      </c>
      <c r="E863" s="68" t="s">
        <v>3633</v>
      </c>
      <c r="F863" s="67">
        <v>3</v>
      </c>
      <c r="G863" s="67" t="s">
        <v>1442</v>
      </c>
      <c r="H863" s="69">
        <v>45238</v>
      </c>
      <c r="I863" s="69" t="s">
        <v>1086</v>
      </c>
      <c r="J863" s="69" t="s">
        <v>1224</v>
      </c>
      <c r="K863" s="67">
        <f>IFERROR(VLOOKUP(J863,Jueces!$A$1:$B$11,2,FALSE),"")</f>
        <v>6</v>
      </c>
      <c r="L863" s="67" t="s">
        <v>3980</v>
      </c>
      <c r="M863" s="7" t="s">
        <v>695</v>
      </c>
      <c r="N863" s="67" t="s">
        <v>3981</v>
      </c>
      <c r="O863" s="83" t="str">
        <f t="shared" ca="1" si="51"/>
        <v>SI</v>
      </c>
      <c r="P863" s="83" t="str">
        <f t="shared" si="50"/>
        <v>DIANOSOL</v>
      </c>
      <c r="Q863" s="67" t="s">
        <v>902</v>
      </c>
      <c r="R863" s="67" t="str">
        <f>VLOOKUP($Q863,Resultados!$A$1:$B$49,2,FALSE)</f>
        <v>Libertad</v>
      </c>
      <c r="S863" s="67" t="s">
        <v>1122</v>
      </c>
      <c r="T863" s="86" t="str">
        <f t="shared" si="52"/>
        <v>NO</v>
      </c>
      <c r="U863" s="86"/>
      <c r="V863" s="83"/>
      <c r="W863" s="67" t="s">
        <v>2074</v>
      </c>
      <c r="X863" s="67"/>
      <c r="Y863" s="67"/>
      <c r="Z863" s="341" t="s">
        <v>770</v>
      </c>
      <c r="AA863" s="341" t="s">
        <v>1168</v>
      </c>
      <c r="AB863" s="341" t="s">
        <v>3935</v>
      </c>
      <c r="AC863" s="379"/>
    </row>
    <row r="864" spans="1:29" ht="39.950000000000003" customHeight="1">
      <c r="A864" s="67">
        <v>886</v>
      </c>
      <c r="B864" s="69">
        <v>45223</v>
      </c>
      <c r="C864" s="74">
        <v>0.52847222222222223</v>
      </c>
      <c r="D864" s="67" t="s">
        <v>3637</v>
      </c>
      <c r="E864" s="68" t="s">
        <v>3916</v>
      </c>
      <c r="F864" s="67">
        <v>3</v>
      </c>
      <c r="G864" s="67" t="s">
        <v>283</v>
      </c>
      <c r="H864" s="69">
        <v>45238</v>
      </c>
      <c r="I864" s="69" t="s">
        <v>1209</v>
      </c>
      <c r="J864" s="69" t="s">
        <v>1220</v>
      </c>
      <c r="K864" s="67">
        <v>8</v>
      </c>
      <c r="L864" s="67" t="s">
        <v>789</v>
      </c>
      <c r="M864" s="67" t="s">
        <v>694</v>
      </c>
      <c r="N864" s="67" t="s">
        <v>3969</v>
      </c>
      <c r="O864" s="83" t="str">
        <f t="shared" ca="1" si="51"/>
        <v>SI</v>
      </c>
      <c r="P864" s="83" t="str">
        <f t="shared" si="50"/>
        <v>DIANOSOL</v>
      </c>
      <c r="Q864" s="67" t="s">
        <v>905</v>
      </c>
      <c r="R864" s="67" t="str">
        <f>VLOOKUP($Q864,Resultados!$A$1:$B$49,2,FALSE)</f>
        <v>Juicio Abreviado</v>
      </c>
      <c r="S864" s="67" t="s">
        <v>3587</v>
      </c>
      <c r="T864" s="86" t="str">
        <f t="shared" si="52"/>
        <v>NO</v>
      </c>
      <c r="U864" s="86"/>
      <c r="V864" s="83"/>
      <c r="W864" s="67" t="s">
        <v>1694</v>
      </c>
      <c r="X864" s="229" t="s">
        <v>3977</v>
      </c>
      <c r="Y864" s="67"/>
      <c r="Z864" s="341" t="s">
        <v>748</v>
      </c>
      <c r="AA864" s="341" t="s">
        <v>1170</v>
      </c>
      <c r="AB864" s="341" t="s">
        <v>3361</v>
      </c>
      <c r="AC864" s="379"/>
    </row>
    <row r="865" spans="1:29" ht="39.950000000000003" customHeight="1">
      <c r="A865" s="67">
        <v>919</v>
      </c>
      <c r="B865" s="69">
        <v>45231</v>
      </c>
      <c r="C865" s="74">
        <v>0.40972222222222227</v>
      </c>
      <c r="D865" s="67" t="s">
        <v>3767</v>
      </c>
      <c r="E865" s="68" t="s">
        <v>3926</v>
      </c>
      <c r="F865" s="67">
        <v>3</v>
      </c>
      <c r="G865" s="67" t="s">
        <v>2835</v>
      </c>
      <c r="H865" s="69">
        <v>45238</v>
      </c>
      <c r="I865" s="69" t="s">
        <v>547</v>
      </c>
      <c r="J865" s="69" t="s">
        <v>78</v>
      </c>
      <c r="K865" s="67">
        <v>8</v>
      </c>
      <c r="L865" s="67" t="s">
        <v>791</v>
      </c>
      <c r="M865" s="67" t="s">
        <v>694</v>
      </c>
      <c r="N865" s="67" t="s">
        <v>3968</v>
      </c>
      <c r="O865" s="214" t="str">
        <f t="shared" ca="1" si="51"/>
        <v>SI</v>
      </c>
      <c r="P865" s="214" t="str">
        <f t="shared" si="50"/>
        <v>DIANOSOL</v>
      </c>
      <c r="Q865" s="67" t="s">
        <v>905</v>
      </c>
      <c r="R865" s="67" t="str">
        <f>VLOOKUP($Q865,Resultados!$A$1:$B$49,2,FALSE)</f>
        <v>Juicio Abreviado</v>
      </c>
      <c r="S865" s="67" t="s">
        <v>3613</v>
      </c>
      <c r="T865" s="281" t="str">
        <f t="shared" si="52"/>
        <v>NO</v>
      </c>
      <c r="U865" s="281"/>
      <c r="V865" s="214"/>
      <c r="W865" s="67" t="s">
        <v>3484</v>
      </c>
      <c r="X865" s="229" t="s">
        <v>3967</v>
      </c>
      <c r="Y865" s="67"/>
      <c r="Z865" s="341" t="s">
        <v>748</v>
      </c>
      <c r="AA865" s="341" t="s">
        <v>2849</v>
      </c>
      <c r="AB865" s="341" t="s">
        <v>1176</v>
      </c>
      <c r="AC865" s="379"/>
    </row>
    <row r="866" spans="1:29" ht="39.950000000000003" customHeight="1">
      <c r="A866" s="67">
        <v>848</v>
      </c>
      <c r="B866" s="69">
        <v>45219</v>
      </c>
      <c r="C866" s="74">
        <v>0.35000000000000003</v>
      </c>
      <c r="D866" s="67" t="s">
        <v>3512</v>
      </c>
      <c r="E866" s="68" t="s">
        <v>3513</v>
      </c>
      <c r="F866" s="67">
        <v>2</v>
      </c>
      <c r="G866" s="67" t="s">
        <v>1442</v>
      </c>
      <c r="H866" s="69">
        <v>45239</v>
      </c>
      <c r="I866" s="69" t="s">
        <v>73</v>
      </c>
      <c r="J866" s="69" t="s">
        <v>78</v>
      </c>
      <c r="K866" s="67">
        <f>IFERROR(VLOOKUP(J866,Jueces!$A$1:$B$11,2,FALSE),"")</f>
        <v>8</v>
      </c>
      <c r="L866" s="67" t="s">
        <v>2092</v>
      </c>
      <c r="M866" s="378" t="s">
        <v>782</v>
      </c>
      <c r="N866" s="67" t="s">
        <v>4011</v>
      </c>
      <c r="O866" s="83" t="str">
        <f t="shared" ca="1" si="51"/>
        <v>SI</v>
      </c>
      <c r="P866" s="83" t="str">
        <f t="shared" si="50"/>
        <v>DIANOSOL</v>
      </c>
      <c r="Q866" s="67" t="s">
        <v>151</v>
      </c>
      <c r="R866" s="67" t="s">
        <v>151</v>
      </c>
      <c r="S866" s="67" t="s">
        <v>749</v>
      </c>
      <c r="T866" s="86" t="str">
        <f t="shared" si="52"/>
        <v>NO</v>
      </c>
      <c r="U866" s="86"/>
      <c r="V866" s="83"/>
      <c r="W866" s="67" t="s">
        <v>1565</v>
      </c>
      <c r="X866" s="67"/>
      <c r="Y866" s="67"/>
      <c r="Z866" s="123" t="s">
        <v>770</v>
      </c>
      <c r="AA866" s="123" t="s">
        <v>3422</v>
      </c>
      <c r="AB866" s="67" t="s">
        <v>1173</v>
      </c>
      <c r="AC866" s="379"/>
    </row>
    <row r="867" spans="1:29" ht="39.950000000000003" customHeight="1">
      <c r="A867" s="67">
        <v>857</v>
      </c>
      <c r="B867" s="69">
        <v>45222</v>
      </c>
      <c r="C867" s="74">
        <v>0.39166666666666666</v>
      </c>
      <c r="D867" s="67" t="s">
        <v>3543</v>
      </c>
      <c r="E867" s="68" t="s">
        <v>3544</v>
      </c>
      <c r="F867" s="67">
        <v>2</v>
      </c>
      <c r="G867" s="67" t="s">
        <v>283</v>
      </c>
      <c r="H867" s="69">
        <v>45239</v>
      </c>
      <c r="I867" s="69" t="s">
        <v>73</v>
      </c>
      <c r="J867" s="69" t="s">
        <v>1730</v>
      </c>
      <c r="K867" s="67">
        <v>2</v>
      </c>
      <c r="L867" s="67" t="s">
        <v>688</v>
      </c>
      <c r="M867" s="67" t="s">
        <v>3786</v>
      </c>
      <c r="N867" s="67" t="s">
        <v>577</v>
      </c>
      <c r="O867" s="83" t="str">
        <f t="shared" ca="1" si="51"/>
        <v>SI</v>
      </c>
      <c r="P867" s="83" t="str">
        <f t="shared" si="50"/>
        <v>DIANOSOL</v>
      </c>
      <c r="Q867" s="67" t="s">
        <v>151</v>
      </c>
      <c r="R867" s="67" t="str">
        <f>VLOOKUP($Q867,Resultados!$A$1:$B$49,2,FALSE)</f>
        <v>Prisión Preventiva</v>
      </c>
      <c r="S867" s="67" t="s">
        <v>686</v>
      </c>
      <c r="T867" s="86" t="str">
        <f t="shared" si="52"/>
        <v>NO</v>
      </c>
      <c r="U867" s="86"/>
      <c r="V867" s="83"/>
      <c r="W867" s="67" t="s">
        <v>76</v>
      </c>
      <c r="X867" s="67" t="s">
        <v>4006</v>
      </c>
      <c r="Y867" s="67"/>
      <c r="Z867" s="123" t="s">
        <v>743</v>
      </c>
      <c r="AA867" s="123" t="s">
        <v>2849</v>
      </c>
      <c r="AB867" s="67" t="s">
        <v>3297</v>
      </c>
      <c r="AC867" s="379"/>
    </row>
    <row r="868" spans="1:29" ht="39.950000000000003" customHeight="1">
      <c r="A868" s="67">
        <v>870</v>
      </c>
      <c r="B868" s="69">
        <v>45224</v>
      </c>
      <c r="C868" s="74">
        <v>0.33333333333333331</v>
      </c>
      <c r="D868" s="67" t="s">
        <v>3596</v>
      </c>
      <c r="E868" s="68" t="s">
        <v>3631</v>
      </c>
      <c r="F868" s="67">
        <v>3</v>
      </c>
      <c r="G868" s="67" t="s">
        <v>3362</v>
      </c>
      <c r="H868" s="69">
        <v>45239</v>
      </c>
      <c r="I868" s="69" t="s">
        <v>73</v>
      </c>
      <c r="J868" s="69" t="s">
        <v>2951</v>
      </c>
      <c r="K868" s="67">
        <v>5</v>
      </c>
      <c r="L868" s="67" t="s">
        <v>813</v>
      </c>
      <c r="M868" s="67" t="s">
        <v>694</v>
      </c>
      <c r="N868" s="67" t="s">
        <v>4008</v>
      </c>
      <c r="O868" s="83" t="str">
        <f t="shared" ca="1" si="51"/>
        <v>SI</v>
      </c>
      <c r="P868" s="83" t="str">
        <f t="shared" si="50"/>
        <v>DIANOSOL</v>
      </c>
      <c r="Q868" s="67" t="s">
        <v>904</v>
      </c>
      <c r="R868" s="67" t="str">
        <f>VLOOKUP($Q868,Resultados!$A$1:$B$49,2,FALSE)</f>
        <v>Juicio Abreviado</v>
      </c>
      <c r="S868" s="67" t="s">
        <v>3132</v>
      </c>
      <c r="T868" s="86" t="str">
        <f t="shared" si="52"/>
        <v>NO</v>
      </c>
      <c r="U868" s="86"/>
      <c r="V868" s="83"/>
      <c r="W868" s="67" t="s">
        <v>989</v>
      </c>
      <c r="X868" s="67" t="s">
        <v>4009</v>
      </c>
      <c r="Y868" s="67"/>
      <c r="Z868" s="123" t="s">
        <v>748</v>
      </c>
      <c r="AA868" s="123" t="s">
        <v>3421</v>
      </c>
      <c r="AB868" s="67" t="s">
        <v>3935</v>
      </c>
      <c r="AC868" s="379"/>
    </row>
    <row r="869" spans="1:29" ht="39.950000000000003" customHeight="1">
      <c r="A869" s="67">
        <v>912</v>
      </c>
      <c r="B869" s="69">
        <v>45230</v>
      </c>
      <c r="C869" s="74">
        <v>0.53472222222222221</v>
      </c>
      <c r="D869" s="67" t="s">
        <v>3382</v>
      </c>
      <c r="E869" s="68" t="s">
        <v>3746</v>
      </c>
      <c r="F869" s="67">
        <v>1</v>
      </c>
      <c r="G869" s="67" t="s">
        <v>43</v>
      </c>
      <c r="H869" s="69">
        <v>45239</v>
      </c>
      <c r="I869" s="69" t="s">
        <v>73</v>
      </c>
      <c r="J869" s="69" t="s">
        <v>2948</v>
      </c>
      <c r="K869" s="67" t="s">
        <v>3933</v>
      </c>
      <c r="L869" s="67" t="s">
        <v>582</v>
      </c>
      <c r="M869" s="367" t="s">
        <v>3822</v>
      </c>
      <c r="N869" s="213" t="s">
        <v>4007</v>
      </c>
      <c r="O869" s="83" t="str">
        <f t="shared" ca="1" si="51"/>
        <v>SI</v>
      </c>
      <c r="P869" s="83" t="str">
        <f t="shared" si="50"/>
        <v>DIANOSOL</v>
      </c>
      <c r="Q869" s="67" t="s">
        <v>904</v>
      </c>
      <c r="R869" s="67" t="str">
        <f>VLOOKUP($Q869,Resultados!$A$1:$B$49,2,FALSE)</f>
        <v>Juicio Abreviado</v>
      </c>
      <c r="S869" s="67" t="s">
        <v>1186</v>
      </c>
      <c r="T869" s="86" t="str">
        <f t="shared" si="52"/>
        <v>NO</v>
      </c>
      <c r="U869" s="86"/>
      <c r="V869" s="83"/>
      <c r="W869" s="67" t="s">
        <v>1390</v>
      </c>
      <c r="X869" s="67" t="s">
        <v>2568</v>
      </c>
      <c r="Y869" s="67"/>
      <c r="Z869" s="123" t="s">
        <v>3410</v>
      </c>
      <c r="AA869" s="67"/>
      <c r="AB869" s="67" t="s">
        <v>3361</v>
      </c>
      <c r="AC869" s="379"/>
    </row>
    <row r="870" spans="1:29" ht="39.950000000000003" customHeight="1">
      <c r="A870" s="67">
        <v>896</v>
      </c>
      <c r="B870" s="69">
        <v>45226</v>
      </c>
      <c r="C870" s="74">
        <v>0.39444444444444443</v>
      </c>
      <c r="D870" s="67" t="s">
        <v>3662</v>
      </c>
      <c r="E870" s="68" t="s">
        <v>3663</v>
      </c>
      <c r="F870" s="67">
        <v>1</v>
      </c>
      <c r="G870" s="67" t="s">
        <v>2785</v>
      </c>
      <c r="H870" s="69">
        <v>45239</v>
      </c>
      <c r="I870" s="69" t="s">
        <v>73</v>
      </c>
      <c r="J870" s="69" t="s">
        <v>35</v>
      </c>
      <c r="K870" s="67">
        <f>IFERROR(VLOOKUP(J870,Jueces!$A$1:$B$11,2,FALSE),"")</f>
        <v>3</v>
      </c>
      <c r="L870" s="67" t="s">
        <v>814</v>
      </c>
      <c r="M870" s="67" t="s">
        <v>2054</v>
      </c>
      <c r="N870" s="67" t="s">
        <v>4010</v>
      </c>
      <c r="O870" s="83" t="str">
        <f t="shared" ca="1" si="51"/>
        <v>SI</v>
      </c>
      <c r="P870" s="83" t="str">
        <f t="shared" si="50"/>
        <v>DIANOSOL</v>
      </c>
      <c r="Q870" s="67" t="s">
        <v>905</v>
      </c>
      <c r="R870" s="67" t="str">
        <f>VLOOKUP($Q870,Resultados!$A$1:$B$49,2,FALSE)</f>
        <v>Juicio Abreviado</v>
      </c>
      <c r="S870" s="67" t="s">
        <v>1015</v>
      </c>
      <c r="T870" s="86" t="str">
        <f t="shared" si="52"/>
        <v>NO</v>
      </c>
      <c r="U870" s="86"/>
      <c r="V870" s="83"/>
      <c r="W870" s="67" t="s">
        <v>1608</v>
      </c>
      <c r="X870" s="67" t="s">
        <v>2568</v>
      </c>
      <c r="Y870" s="67"/>
      <c r="Z870" s="123" t="s">
        <v>3952</v>
      </c>
      <c r="AA870" s="123" t="s">
        <v>3422</v>
      </c>
      <c r="AB870" s="67" t="s">
        <v>1176</v>
      </c>
      <c r="AC870" s="379"/>
    </row>
    <row r="871" spans="1:29" ht="39.950000000000003" customHeight="1">
      <c r="A871" s="67">
        <v>869</v>
      </c>
      <c r="B871" s="69">
        <v>45224</v>
      </c>
      <c r="C871" s="74">
        <v>0.34027777777777773</v>
      </c>
      <c r="D871" s="67" t="s">
        <v>3595</v>
      </c>
      <c r="E871" s="68" t="s">
        <v>3630</v>
      </c>
      <c r="F871" s="67">
        <v>3</v>
      </c>
      <c r="G871" s="67" t="s">
        <v>568</v>
      </c>
      <c r="H871" s="69">
        <v>45239</v>
      </c>
      <c r="I871" s="69" t="s">
        <v>1086</v>
      </c>
      <c r="J871" s="69" t="s">
        <v>1219</v>
      </c>
      <c r="K871" s="67">
        <f>IFERROR(VLOOKUP(J871,Jueces!$A$1:$B$11,2,FALSE),"")</f>
        <v>1</v>
      </c>
      <c r="L871" s="67" t="s">
        <v>812</v>
      </c>
      <c r="M871" s="67" t="s">
        <v>694</v>
      </c>
      <c r="N871" s="67" t="s">
        <v>3190</v>
      </c>
      <c r="O871" s="83" t="str">
        <f t="shared" ca="1" si="51"/>
        <v>SI</v>
      </c>
      <c r="P871" s="83" t="str">
        <f t="shared" si="50"/>
        <v>DIANOSOL</v>
      </c>
      <c r="Q871" s="67" t="s">
        <v>904</v>
      </c>
      <c r="R871" s="67" t="str">
        <f>VLOOKUP($Q871,Resultados!$A$1:$B$49,2,FALSE)</f>
        <v>Juicio Abreviado</v>
      </c>
      <c r="S871" s="67" t="s">
        <v>1130</v>
      </c>
      <c r="T871" s="86" t="str">
        <f t="shared" si="52"/>
        <v>NO</v>
      </c>
      <c r="U871" s="86"/>
      <c r="V871" s="83"/>
      <c r="W871" s="67" t="s">
        <v>1449</v>
      </c>
      <c r="X871" s="67" t="s">
        <v>2568</v>
      </c>
      <c r="Y871" s="67"/>
      <c r="Z871" s="123" t="s">
        <v>3410</v>
      </c>
      <c r="AA871" s="123" t="s">
        <v>1168</v>
      </c>
      <c r="AB871" s="67" t="s">
        <v>1173</v>
      </c>
      <c r="AC871" s="379"/>
    </row>
    <row r="872" spans="1:29" ht="39.950000000000003" customHeight="1">
      <c r="A872" s="67">
        <v>902</v>
      </c>
      <c r="B872" s="69">
        <v>45226</v>
      </c>
      <c r="C872" s="74">
        <v>0.50486111111111109</v>
      </c>
      <c r="D872" s="67" t="s">
        <v>3670</v>
      </c>
      <c r="E872" s="68" t="s">
        <v>3671</v>
      </c>
      <c r="F872" s="67">
        <v>3</v>
      </c>
      <c r="G872" s="67" t="s">
        <v>3363</v>
      </c>
      <c r="H872" s="69">
        <v>45239</v>
      </c>
      <c r="I872" s="69" t="s">
        <v>1086</v>
      </c>
      <c r="J872" s="69" t="s">
        <v>1220</v>
      </c>
      <c r="K872" s="67">
        <v>5</v>
      </c>
      <c r="L872" s="67" t="s">
        <v>803</v>
      </c>
      <c r="M872" s="7" t="s">
        <v>695</v>
      </c>
      <c r="N872" s="67" t="s">
        <v>621</v>
      </c>
      <c r="O872" s="83" t="str">
        <f t="shared" ca="1" si="51"/>
        <v>SI</v>
      </c>
      <c r="P872" s="83" t="str">
        <f t="shared" si="50"/>
        <v>DIANOSOL</v>
      </c>
      <c r="Q872" s="67" t="s">
        <v>151</v>
      </c>
      <c r="R872" s="67" t="str">
        <f>VLOOKUP($Q872,Resultados!$A$1:$B$49,2,FALSE)</f>
        <v>Prisión Preventiva</v>
      </c>
      <c r="S872" s="67" t="s">
        <v>1391</v>
      </c>
      <c r="T872" s="86" t="str">
        <f t="shared" si="52"/>
        <v>NO</v>
      </c>
      <c r="U872" s="86"/>
      <c r="V872" s="83"/>
      <c r="W872" s="67" t="s">
        <v>3400</v>
      </c>
      <c r="X872" s="67" t="s">
        <v>2251</v>
      </c>
      <c r="Y872" s="67"/>
      <c r="Z872" s="123" t="s">
        <v>748</v>
      </c>
      <c r="AA872" s="123" t="s">
        <v>2892</v>
      </c>
      <c r="AB872" s="67" t="s">
        <v>3297</v>
      </c>
      <c r="AC872" s="379"/>
    </row>
    <row r="873" spans="1:29" ht="39.950000000000003" customHeight="1">
      <c r="A873" s="67">
        <v>832</v>
      </c>
      <c r="B873" s="69">
        <v>45200</v>
      </c>
      <c r="C873" s="74">
        <v>0.41805555555555557</v>
      </c>
      <c r="D873" s="67" t="s">
        <v>3536</v>
      </c>
      <c r="E873" s="68" t="s">
        <v>3472</v>
      </c>
      <c r="F873" s="67">
        <v>2</v>
      </c>
      <c r="G873" s="67" t="s">
        <v>1442</v>
      </c>
      <c r="H873" s="69">
        <v>45240</v>
      </c>
      <c r="I873" s="69" t="s">
        <v>73</v>
      </c>
      <c r="J873" s="69" t="s">
        <v>78</v>
      </c>
      <c r="K873" s="67">
        <f>IFERROR(VLOOKUP(J873,Jueces!$A$1:$B$11,2,FALSE),"")</f>
        <v>8</v>
      </c>
      <c r="L873" s="67" t="s">
        <v>2092</v>
      </c>
      <c r="M873" s="67" t="s">
        <v>692</v>
      </c>
      <c r="N873" s="67" t="s">
        <v>4074</v>
      </c>
      <c r="O873" s="67" t="str">
        <f t="shared" ca="1" si="51"/>
        <v>SI</v>
      </c>
      <c r="P873" s="67" t="str">
        <f t="shared" si="50"/>
        <v>DIANOSOL</v>
      </c>
      <c r="Q873" s="67" t="s">
        <v>151</v>
      </c>
      <c r="R873" s="67" t="str">
        <f>VLOOKUP($Q873,Resultados!$A$1:$B$49,2,FALSE)</f>
        <v>Prisión Preventiva</v>
      </c>
      <c r="S873" s="67" t="s">
        <v>2254</v>
      </c>
      <c r="T873" s="77" t="str">
        <f t="shared" si="52"/>
        <v>NO</v>
      </c>
      <c r="U873" s="77"/>
      <c r="V873" s="67"/>
      <c r="W873" s="67" t="s">
        <v>1137</v>
      </c>
      <c r="X873" s="67" t="s">
        <v>4075</v>
      </c>
      <c r="Y873" s="67"/>
      <c r="Z873" s="123" t="s">
        <v>748</v>
      </c>
      <c r="AA873" s="123" t="s">
        <v>1170</v>
      </c>
      <c r="AB873" s="67" t="s">
        <v>1174</v>
      </c>
      <c r="AC873" s="379"/>
    </row>
    <row r="874" spans="1:29" ht="39.950000000000003" customHeight="1">
      <c r="A874" s="67">
        <v>866</v>
      </c>
      <c r="B874" s="69">
        <v>45222</v>
      </c>
      <c r="C874" s="74">
        <v>0.53680555555555554</v>
      </c>
      <c r="D874" s="67" t="s">
        <v>3582</v>
      </c>
      <c r="E874" s="68" t="s">
        <v>3645</v>
      </c>
      <c r="F874" s="67">
        <v>2</v>
      </c>
      <c r="G874" s="67" t="s">
        <v>2785</v>
      </c>
      <c r="H874" s="69">
        <v>45240</v>
      </c>
      <c r="I874" s="69" t="s">
        <v>73</v>
      </c>
      <c r="J874" s="69" t="s">
        <v>1730</v>
      </c>
      <c r="K874" s="67" t="s">
        <v>1924</v>
      </c>
      <c r="L874" s="67" t="s">
        <v>798</v>
      </c>
      <c r="M874" s="67" t="s">
        <v>693</v>
      </c>
      <c r="N874" s="67" t="s">
        <v>577</v>
      </c>
      <c r="O874" s="67" t="str">
        <f t="shared" ca="1" si="51"/>
        <v>SI</v>
      </c>
      <c r="P874" s="67" t="str">
        <f t="shared" si="50"/>
        <v>DIANOSOL</v>
      </c>
      <c r="Q874" s="67" t="s">
        <v>151</v>
      </c>
      <c r="R874" s="67" t="str">
        <f>VLOOKUP($Q874,Resultados!$A$1:$B$49,2,FALSE)</f>
        <v>Prisión Preventiva</v>
      </c>
      <c r="S874" s="67" t="s">
        <v>679</v>
      </c>
      <c r="T874" s="77" t="str">
        <f t="shared" si="52"/>
        <v>NO</v>
      </c>
      <c r="U874" s="77"/>
      <c r="V874" s="67"/>
      <c r="W874" s="67" t="s">
        <v>1167</v>
      </c>
      <c r="X874" s="67" t="s">
        <v>4076</v>
      </c>
      <c r="Y874" s="67"/>
      <c r="Z874" s="123" t="s">
        <v>3952</v>
      </c>
      <c r="AA874" s="123" t="s">
        <v>2849</v>
      </c>
      <c r="AB874" s="67" t="s">
        <v>3361</v>
      </c>
      <c r="AC874" s="379"/>
    </row>
    <row r="875" spans="1:29" ht="39.950000000000003" customHeight="1">
      <c r="A875" s="67">
        <v>890</v>
      </c>
      <c r="B875" s="69">
        <v>45225</v>
      </c>
      <c r="C875" s="74">
        <v>0.47569444444444442</v>
      </c>
      <c r="D875" s="67" t="s">
        <v>3648</v>
      </c>
      <c r="E875" s="68" t="s">
        <v>3649</v>
      </c>
      <c r="F875" s="67">
        <v>3</v>
      </c>
      <c r="G875" s="67" t="s">
        <v>1440</v>
      </c>
      <c r="H875" s="69">
        <v>45240</v>
      </c>
      <c r="I875" s="69" t="s">
        <v>73</v>
      </c>
      <c r="J875" s="69" t="s">
        <v>2951</v>
      </c>
      <c r="K875" s="67" t="s">
        <v>1345</v>
      </c>
      <c r="L875" s="67" t="s">
        <v>812</v>
      </c>
      <c r="M875" s="67" t="s">
        <v>694</v>
      </c>
      <c r="N875" s="67" t="s">
        <v>4077</v>
      </c>
      <c r="O875" s="67" t="str">
        <f t="shared" ca="1" si="51"/>
        <v>SI</v>
      </c>
      <c r="P875" s="67" t="str">
        <f t="shared" si="50"/>
        <v>DIANOSOL</v>
      </c>
      <c r="Q875" s="67" t="s">
        <v>904</v>
      </c>
      <c r="R875" s="67" t="str">
        <f>VLOOKUP($Q875,Resultados!$A$1:$B$49,2,FALSE)</f>
        <v>Juicio Abreviado</v>
      </c>
      <c r="S875" s="67" t="s">
        <v>686</v>
      </c>
      <c r="T875" s="77" t="str">
        <f t="shared" si="52"/>
        <v>SI</v>
      </c>
      <c r="U875" s="77"/>
      <c r="V875" s="67"/>
      <c r="W875" s="67" t="s">
        <v>1065</v>
      </c>
      <c r="X875" s="67" t="s">
        <v>2568</v>
      </c>
      <c r="Y875" s="67"/>
      <c r="Z875" s="123" t="s">
        <v>4078</v>
      </c>
      <c r="AA875" s="123" t="s">
        <v>3421</v>
      </c>
      <c r="AB875" s="67" t="s">
        <v>1173</v>
      </c>
      <c r="AC875" s="379"/>
    </row>
    <row r="876" spans="1:29" ht="39.950000000000003" customHeight="1">
      <c r="A876" s="67">
        <v>885</v>
      </c>
      <c r="B876" s="69">
        <v>45225</v>
      </c>
      <c r="C876" s="74">
        <v>0.40902777777777777</v>
      </c>
      <c r="D876" s="67" t="s">
        <v>3634</v>
      </c>
      <c r="E876" s="68" t="s">
        <v>3635</v>
      </c>
      <c r="F876" s="67">
        <v>3</v>
      </c>
      <c r="G876" s="67" t="s">
        <v>568</v>
      </c>
      <c r="H876" s="69">
        <v>45240</v>
      </c>
      <c r="I876" s="69" t="s">
        <v>1086</v>
      </c>
      <c r="J876" s="69" t="s">
        <v>35</v>
      </c>
      <c r="K876" s="67">
        <f>IFERROR(VLOOKUP(J876,Jueces!$A$1:$B$11,2,FALSE),"")</f>
        <v>3</v>
      </c>
      <c r="L876" s="67" t="s">
        <v>812</v>
      </c>
      <c r="M876" s="7" t="s">
        <v>694</v>
      </c>
      <c r="N876" s="67" t="s">
        <v>899</v>
      </c>
      <c r="O876" s="83" t="str">
        <f t="shared" ca="1" si="51"/>
        <v>SI</v>
      </c>
      <c r="P876" s="83" t="str">
        <f t="shared" si="50"/>
        <v>DIANOSOL</v>
      </c>
      <c r="Q876" s="67" t="s">
        <v>899</v>
      </c>
      <c r="R876" s="67" t="str">
        <f>VLOOKUP($Q876,Resultados!$A$1:$B$49,2,FALSE)</f>
        <v>Libertad</v>
      </c>
      <c r="S876" s="67" t="s">
        <v>2901</v>
      </c>
      <c r="T876" s="86" t="str">
        <f t="shared" si="52"/>
        <v>NO</v>
      </c>
      <c r="U876" s="86"/>
      <c r="V876" s="83"/>
      <c r="W876" s="67" t="s">
        <v>1309</v>
      </c>
      <c r="X876" s="67" t="s">
        <v>3237</v>
      </c>
      <c r="Y876" s="67"/>
      <c r="Z876" s="123" t="s">
        <v>748</v>
      </c>
      <c r="AA876" s="123" t="s">
        <v>3422</v>
      </c>
      <c r="AB876" s="67" t="s">
        <v>3297</v>
      </c>
      <c r="AC876" s="379"/>
    </row>
    <row r="877" spans="1:29" ht="39.950000000000003" customHeight="1">
      <c r="A877" s="67">
        <v>907</v>
      </c>
      <c r="B877" s="69">
        <v>45230</v>
      </c>
      <c r="C877" s="74">
        <v>0.33333333333333331</v>
      </c>
      <c r="D877" s="67" t="s">
        <v>3723</v>
      </c>
      <c r="E877" s="68" t="s">
        <v>3724</v>
      </c>
      <c r="F877" s="67">
        <v>1</v>
      </c>
      <c r="G877" s="67" t="s">
        <v>1441</v>
      </c>
      <c r="H877" s="69">
        <v>45240</v>
      </c>
      <c r="I877" s="69" t="s">
        <v>1086</v>
      </c>
      <c r="J877" s="69" t="s">
        <v>1224</v>
      </c>
      <c r="K877" s="67">
        <f>IFERROR(VLOOKUP(J877,Jueces!$A$1:$B$11,2,FALSE),"")</f>
        <v>6</v>
      </c>
      <c r="L877" s="67" t="s">
        <v>1070</v>
      </c>
      <c r="M877" s="67" t="s">
        <v>3754</v>
      </c>
      <c r="N877" s="67" t="s">
        <v>4079</v>
      </c>
      <c r="O877" s="83" t="str">
        <f t="shared" ca="1" si="51"/>
        <v>SI</v>
      </c>
      <c r="P877" s="83" t="str">
        <f t="shared" si="50"/>
        <v>DIANOSOL</v>
      </c>
      <c r="Q877" s="67" t="s">
        <v>151</v>
      </c>
      <c r="R877" s="67" t="s">
        <v>151</v>
      </c>
      <c r="S877" s="67" t="s">
        <v>1390</v>
      </c>
      <c r="T877" s="86" t="str">
        <f t="shared" si="52"/>
        <v>NO</v>
      </c>
      <c r="U877" s="86"/>
      <c r="V877" s="83"/>
      <c r="W877" s="67" t="s">
        <v>1608</v>
      </c>
      <c r="X877" s="67"/>
      <c r="Y877" s="67"/>
      <c r="Z877" s="123" t="s">
        <v>770</v>
      </c>
      <c r="AA877" s="123" t="s">
        <v>3422</v>
      </c>
      <c r="AB877" s="67" t="s">
        <v>1174</v>
      </c>
      <c r="AC877" s="379"/>
    </row>
    <row r="878" spans="1:29" ht="39.950000000000003" customHeight="1">
      <c r="A878" s="67">
        <v>898</v>
      </c>
      <c r="B878" s="69">
        <v>45225</v>
      </c>
      <c r="C878" s="74">
        <v>0.53472222222222221</v>
      </c>
      <c r="D878" s="67" t="s">
        <v>3664</v>
      </c>
      <c r="E878" s="68" t="s">
        <v>3665</v>
      </c>
      <c r="F878" s="67">
        <v>2</v>
      </c>
      <c r="G878" s="67" t="s">
        <v>3363</v>
      </c>
      <c r="H878" s="69">
        <v>45240</v>
      </c>
      <c r="I878" s="69" t="s">
        <v>228</v>
      </c>
      <c r="J878" s="69" t="s">
        <v>1219</v>
      </c>
      <c r="K878" s="67">
        <v>5</v>
      </c>
      <c r="L878" s="67" t="s">
        <v>508</v>
      </c>
      <c r="M878" s="67" t="s">
        <v>3682</v>
      </c>
      <c r="N878" s="67" t="s">
        <v>2566</v>
      </c>
      <c r="O878" s="83" t="str">
        <f t="shared" ca="1" si="51"/>
        <v>SI</v>
      </c>
      <c r="P878" s="83" t="str">
        <f t="shared" si="50"/>
        <v>DIANOSOL</v>
      </c>
      <c r="Q878" s="67" t="s">
        <v>899</v>
      </c>
      <c r="R878" s="67" t="str">
        <f>VLOOKUP($Q878,Resultados!$A$1:$B$49,2,FALSE)</f>
        <v>Libertad</v>
      </c>
      <c r="S878" s="67" t="s">
        <v>4080</v>
      </c>
      <c r="T878" s="86" t="str">
        <f t="shared" si="52"/>
        <v>NO</v>
      </c>
      <c r="U878" s="86"/>
      <c r="V878" s="83"/>
      <c r="W878" s="67" t="s">
        <v>4081</v>
      </c>
      <c r="X878" s="67"/>
      <c r="Y878" s="67"/>
      <c r="Z878" s="123" t="s">
        <v>748</v>
      </c>
      <c r="AA878" s="123" t="s">
        <v>2849</v>
      </c>
      <c r="AB878" s="67" t="s">
        <v>3361</v>
      </c>
      <c r="AC878" s="379"/>
    </row>
    <row r="879" spans="1:29" ht="39.950000000000003" customHeight="1">
      <c r="A879" s="67">
        <v>914</v>
      </c>
      <c r="B879" s="69">
        <v>45229</v>
      </c>
      <c r="C879" s="74">
        <v>0.34027777777777773</v>
      </c>
      <c r="D879" s="67" t="s">
        <v>3749</v>
      </c>
      <c r="E879" s="68" t="s">
        <v>3750</v>
      </c>
      <c r="F879" s="67">
        <v>3</v>
      </c>
      <c r="G879" s="67" t="s">
        <v>2835</v>
      </c>
      <c r="H879" s="69">
        <v>45240</v>
      </c>
      <c r="I879" s="69" t="s">
        <v>228</v>
      </c>
      <c r="J879" s="69" t="s">
        <v>1220</v>
      </c>
      <c r="K879" s="67" t="s">
        <v>3821</v>
      </c>
      <c r="L879" s="67" t="s">
        <v>810</v>
      </c>
      <c r="M879" s="67" t="s">
        <v>1285</v>
      </c>
      <c r="N879" s="67" t="s">
        <v>2475</v>
      </c>
      <c r="O879" s="83" t="str">
        <f t="shared" ca="1" si="51"/>
        <v>SI</v>
      </c>
      <c r="P879" s="83" t="str">
        <f t="shared" si="50"/>
        <v>DIANOSOL</v>
      </c>
      <c r="Q879" s="67" t="s">
        <v>905</v>
      </c>
      <c r="R879" s="67" t="str">
        <f>VLOOKUP($Q879,Resultados!$A$1:$B$49,2,FALSE)</f>
        <v>Juicio Abreviado</v>
      </c>
      <c r="S879" s="67" t="s">
        <v>4082</v>
      </c>
      <c r="T879" s="86" t="str">
        <f t="shared" si="52"/>
        <v>NO</v>
      </c>
      <c r="U879" s="86"/>
      <c r="V879" s="83"/>
      <c r="W879" s="67" t="s">
        <v>1773</v>
      </c>
      <c r="X879" s="67" t="s">
        <v>2568</v>
      </c>
      <c r="Y879" s="67"/>
      <c r="Z879" s="123" t="s">
        <v>3410</v>
      </c>
      <c r="AA879" s="123" t="s">
        <v>1170</v>
      </c>
      <c r="AB879" s="67" t="s">
        <v>1173</v>
      </c>
      <c r="AC879" s="379"/>
    </row>
    <row r="880" spans="1:29" ht="39.950000000000003" customHeight="1">
      <c r="A880" s="67">
        <v>887</v>
      </c>
      <c r="B880" s="69">
        <v>45223</v>
      </c>
      <c r="C880" s="74">
        <v>0.47222222222222227</v>
      </c>
      <c r="D880" s="67" t="s">
        <v>3641</v>
      </c>
      <c r="E880" s="68" t="s">
        <v>3642</v>
      </c>
      <c r="F880" s="67">
        <v>2</v>
      </c>
      <c r="G880" s="67" t="s">
        <v>3850</v>
      </c>
      <c r="H880" s="69">
        <v>45240</v>
      </c>
      <c r="I880" s="69" t="s">
        <v>2019</v>
      </c>
      <c r="J880" s="69" t="s">
        <v>78</v>
      </c>
      <c r="K880" s="67" t="s">
        <v>2340</v>
      </c>
      <c r="L880" s="67" t="s">
        <v>806</v>
      </c>
      <c r="M880" s="67" t="s">
        <v>694</v>
      </c>
      <c r="N880" s="67" t="s">
        <v>3508</v>
      </c>
      <c r="O880" s="83" t="str">
        <f t="shared" ca="1" si="51"/>
        <v>SI</v>
      </c>
      <c r="P880" s="83" t="str">
        <f t="shared" si="50"/>
        <v>DIANOSOL</v>
      </c>
      <c r="Q880" s="67" t="s">
        <v>904</v>
      </c>
      <c r="R880" s="67" t="str">
        <f>VLOOKUP($Q880,Resultados!$A$1:$B$49,2,FALSE)</f>
        <v>Juicio Abreviado</v>
      </c>
      <c r="S880" s="67" t="s">
        <v>1273</v>
      </c>
      <c r="T880" s="86" t="str">
        <f t="shared" si="52"/>
        <v>NO</v>
      </c>
      <c r="U880" s="86"/>
      <c r="V880" s="83"/>
      <c r="W880" s="67" t="s">
        <v>3241</v>
      </c>
      <c r="X880" s="67" t="s">
        <v>4083</v>
      </c>
      <c r="Y880" s="67"/>
      <c r="Z880" s="123" t="s">
        <v>770</v>
      </c>
      <c r="AA880" s="123" t="s">
        <v>2892</v>
      </c>
      <c r="AB880" s="67" t="s">
        <v>3297</v>
      </c>
      <c r="AC880" s="379"/>
    </row>
    <row r="881" spans="1:29" ht="39.950000000000003" customHeight="1">
      <c r="A881" s="67">
        <v>865</v>
      </c>
      <c r="B881" s="69">
        <v>45222</v>
      </c>
      <c r="C881" s="74">
        <v>0.4680555555555555</v>
      </c>
      <c r="D881" s="67" t="s">
        <v>3569</v>
      </c>
      <c r="E881" s="68" t="s">
        <v>3570</v>
      </c>
      <c r="F881" s="67">
        <v>2</v>
      </c>
      <c r="G881" s="67" t="s">
        <v>3362</v>
      </c>
      <c r="H881" s="69">
        <v>45243</v>
      </c>
      <c r="I881" s="69" t="s">
        <v>73</v>
      </c>
      <c r="J881" s="69" t="s">
        <v>2948</v>
      </c>
      <c r="K881" s="67">
        <v>2</v>
      </c>
      <c r="L881" s="67" t="s">
        <v>802</v>
      </c>
      <c r="M881" s="67" t="s">
        <v>693</v>
      </c>
      <c r="N881" s="67" t="s">
        <v>4086</v>
      </c>
      <c r="O881" s="83" t="str">
        <f t="shared" ca="1" si="51"/>
        <v>SI</v>
      </c>
      <c r="P881" s="83" t="str">
        <f t="shared" si="50"/>
        <v>DIANOSOL</v>
      </c>
      <c r="Q881" s="67" t="s">
        <v>905</v>
      </c>
      <c r="R881" s="67" t="str">
        <f>VLOOKUP($Q881,Resultados!$A$1:$B$49,2,FALSE)</f>
        <v>Juicio Abreviado</v>
      </c>
      <c r="S881" s="67" t="s">
        <v>686</v>
      </c>
      <c r="T881" s="86" t="str">
        <f t="shared" si="52"/>
        <v>NO</v>
      </c>
      <c r="U881" s="86"/>
      <c r="V881" s="83"/>
      <c r="W881" s="67" t="s">
        <v>3559</v>
      </c>
      <c r="X881" s="67" t="s">
        <v>4087</v>
      </c>
      <c r="Y881" s="67"/>
      <c r="Z881" s="67"/>
      <c r="AA881" s="123" t="s">
        <v>2892</v>
      </c>
      <c r="AB881" s="67" t="s">
        <v>1174</v>
      </c>
      <c r="AC881" s="379"/>
    </row>
    <row r="882" spans="1:29" ht="39.950000000000003" customHeight="1">
      <c r="A882" s="67">
        <v>893</v>
      </c>
      <c r="B882" s="69">
        <v>45226</v>
      </c>
      <c r="C882" s="74">
        <v>0.3972222222222222</v>
      </c>
      <c r="D882" s="362" t="s">
        <v>3657</v>
      </c>
      <c r="E882" s="68" t="s">
        <v>3658</v>
      </c>
      <c r="F882" s="67">
        <v>3</v>
      </c>
      <c r="G882" s="67" t="s">
        <v>1441</v>
      </c>
      <c r="H882" s="69">
        <v>45243</v>
      </c>
      <c r="I882" s="69" t="s">
        <v>73</v>
      </c>
      <c r="J882" s="69" t="s">
        <v>35</v>
      </c>
      <c r="K882" s="67">
        <f>IFERROR(VLOOKUP(J882,Jueces!$A$1:$B$11,2,FALSE),"")</f>
        <v>3</v>
      </c>
      <c r="L882" s="67" t="s">
        <v>811</v>
      </c>
      <c r="M882" s="67" t="s">
        <v>694</v>
      </c>
      <c r="N882" s="67" t="s">
        <v>4088</v>
      </c>
      <c r="O882" s="83" t="str">
        <f t="shared" ca="1" si="51"/>
        <v>SI</v>
      </c>
      <c r="P882" s="83" t="str">
        <f t="shared" si="50"/>
        <v>DIANOSOL</v>
      </c>
      <c r="Q882" s="67" t="s">
        <v>912</v>
      </c>
      <c r="R882" s="67" t="str">
        <f>VLOOKUP($Q882,Resultados!$A$1:$B$49,2,FALSE)</f>
        <v>Suspendida</v>
      </c>
      <c r="S882" s="67" t="s">
        <v>1295</v>
      </c>
      <c r="T882" s="86" t="str">
        <f t="shared" si="52"/>
        <v>NO</v>
      </c>
      <c r="U882" s="86"/>
      <c r="V882" s="83"/>
      <c r="W882" s="67" t="s">
        <v>1122</v>
      </c>
      <c r="X882" s="67" t="s">
        <v>2568</v>
      </c>
      <c r="Y882" s="67"/>
      <c r="Z882" s="67"/>
      <c r="AA882" s="123" t="s">
        <v>2849</v>
      </c>
      <c r="AB882" s="67" t="s">
        <v>1176</v>
      </c>
      <c r="AC882" s="379" t="s">
        <v>1799</v>
      </c>
    </row>
    <row r="883" spans="1:29" ht="39.950000000000003" customHeight="1">
      <c r="A883" s="67">
        <v>910</v>
      </c>
      <c r="B883" s="69">
        <v>45230</v>
      </c>
      <c r="C883" s="74">
        <v>0.44513888888888892</v>
      </c>
      <c r="D883" s="67" t="s">
        <v>3734</v>
      </c>
      <c r="E883" s="68" t="s">
        <v>3735</v>
      </c>
      <c r="F883" s="67">
        <v>3</v>
      </c>
      <c r="G883" s="67" t="s">
        <v>568</v>
      </c>
      <c r="H883" s="69">
        <v>45243</v>
      </c>
      <c r="I883" s="69" t="s">
        <v>73</v>
      </c>
      <c r="J883" s="69" t="s">
        <v>1220</v>
      </c>
      <c r="K883" s="67" t="s">
        <v>1990</v>
      </c>
      <c r="L883" s="67" t="s">
        <v>810</v>
      </c>
      <c r="M883" s="67" t="s">
        <v>697</v>
      </c>
      <c r="N883" s="67" t="s">
        <v>577</v>
      </c>
      <c r="O883" s="67" t="str">
        <f t="shared" ca="1" si="51"/>
        <v>SI</v>
      </c>
      <c r="P883" s="67" t="str">
        <f t="shared" si="50"/>
        <v>DIANOSOL</v>
      </c>
      <c r="Q883" s="67" t="s">
        <v>151</v>
      </c>
      <c r="R883" s="67" t="str">
        <f>VLOOKUP($Q883,Resultados!$A$1:$B$49,2,FALSE)</f>
        <v>Prisión Preventiva</v>
      </c>
      <c r="S883" s="67" t="s">
        <v>1014</v>
      </c>
      <c r="T883" s="77" t="str">
        <f t="shared" si="52"/>
        <v>NO</v>
      </c>
      <c r="U883" s="77"/>
      <c r="V883" s="67"/>
      <c r="W883" s="67" t="s">
        <v>1065</v>
      </c>
      <c r="X883" s="67" t="s">
        <v>4090</v>
      </c>
      <c r="Y883" s="67"/>
      <c r="Z883" s="67"/>
      <c r="AA883" s="123" t="s">
        <v>3422</v>
      </c>
      <c r="AB883" s="67" t="s">
        <v>1173</v>
      </c>
      <c r="AC883" s="379"/>
    </row>
    <row r="884" spans="1:29" ht="39.950000000000003" customHeight="1">
      <c r="A884" s="67">
        <v>878</v>
      </c>
      <c r="B884" s="69">
        <v>45225</v>
      </c>
      <c r="C884" s="74">
        <v>0.37291666666666662</v>
      </c>
      <c r="D884" s="67" t="s">
        <v>3619</v>
      </c>
      <c r="E884" s="68" t="s">
        <v>3618</v>
      </c>
      <c r="F884" s="67">
        <v>2</v>
      </c>
      <c r="G884" s="67" t="s">
        <v>2785</v>
      </c>
      <c r="H884" s="69">
        <v>45243</v>
      </c>
      <c r="I884" s="69" t="s">
        <v>1086</v>
      </c>
      <c r="J884" s="69" t="s">
        <v>1220</v>
      </c>
      <c r="K884" s="67">
        <v>5</v>
      </c>
      <c r="L884" s="67" t="s">
        <v>809</v>
      </c>
      <c r="M884" s="67" t="s">
        <v>693</v>
      </c>
      <c r="N884" s="67" t="s">
        <v>4091</v>
      </c>
      <c r="O884" s="67" t="str">
        <f t="shared" ca="1" si="51"/>
        <v>SI</v>
      </c>
      <c r="P884" s="67" t="str">
        <f t="shared" si="50"/>
        <v>DIANOSOL</v>
      </c>
      <c r="Q884" s="67" t="s">
        <v>904</v>
      </c>
      <c r="R884" s="67" t="s">
        <v>100</v>
      </c>
      <c r="S884" s="67" t="s">
        <v>1124</v>
      </c>
      <c r="T884" s="77" t="str">
        <f t="shared" si="52"/>
        <v>NO</v>
      </c>
      <c r="U884" s="77"/>
      <c r="V884" s="67"/>
      <c r="W884" s="67" t="s">
        <v>1395</v>
      </c>
      <c r="X884" s="67" t="s">
        <v>3193</v>
      </c>
      <c r="Y884" s="67"/>
      <c r="Z884" s="67"/>
      <c r="AA884" s="123" t="s">
        <v>1170</v>
      </c>
      <c r="AB884" s="67" t="s">
        <v>1172</v>
      </c>
      <c r="AC884" s="379"/>
    </row>
    <row r="885" spans="1:29" ht="39.950000000000003" customHeight="1">
      <c r="A885" s="67">
        <v>883</v>
      </c>
      <c r="B885" s="69">
        <v>45224</v>
      </c>
      <c r="C885" s="74">
        <v>0.34375</v>
      </c>
      <c r="D885" s="67" t="s">
        <v>4055</v>
      </c>
      <c r="E885" s="68" t="s">
        <v>3629</v>
      </c>
      <c r="F885" s="67">
        <v>3</v>
      </c>
      <c r="G885" s="67" t="s">
        <v>283</v>
      </c>
      <c r="H885" s="69">
        <v>45243</v>
      </c>
      <c r="I885" s="69" t="s">
        <v>1086</v>
      </c>
      <c r="J885" s="69" t="s">
        <v>1219</v>
      </c>
      <c r="K885" s="67">
        <f>IFERROR(VLOOKUP(J885,Jueces!$A$1:$B$11,2,FALSE),"")</f>
        <v>1</v>
      </c>
      <c r="L885" s="67" t="s">
        <v>812</v>
      </c>
      <c r="M885" s="67" t="s">
        <v>694</v>
      </c>
      <c r="N885" s="67" t="s">
        <v>912</v>
      </c>
      <c r="O885" s="83" t="str">
        <f t="shared" ca="1" si="51"/>
        <v>SI</v>
      </c>
      <c r="P885" s="83" t="str">
        <f t="shared" si="50"/>
        <v>DIANOSOL</v>
      </c>
      <c r="Q885" s="67" t="s">
        <v>912</v>
      </c>
      <c r="R885" s="67" t="str">
        <f>VLOOKUP($Q885,Resultados!$A$1:$B$49,2,FALSE)</f>
        <v>Suspendida</v>
      </c>
      <c r="S885" s="67" t="s">
        <v>1134</v>
      </c>
      <c r="T885" s="86" t="str">
        <f t="shared" si="52"/>
        <v>NO</v>
      </c>
      <c r="U885" s="86"/>
      <c r="V885" s="83"/>
      <c r="W885" s="67" t="s">
        <v>1235</v>
      </c>
      <c r="X885" s="67" t="s">
        <v>2568</v>
      </c>
      <c r="Y885" s="67"/>
      <c r="Z885" s="67"/>
      <c r="AA885" s="123" t="s">
        <v>1168</v>
      </c>
      <c r="AB885" s="67" t="s">
        <v>3297</v>
      </c>
      <c r="AC885" s="379"/>
    </row>
    <row r="886" spans="1:29" ht="39.950000000000003" customHeight="1">
      <c r="A886" s="67">
        <v>915</v>
      </c>
      <c r="B886" s="69">
        <v>45229</v>
      </c>
      <c r="C886" s="74">
        <v>0.53541666666666665</v>
      </c>
      <c r="D886" s="67" t="s">
        <v>3752</v>
      </c>
      <c r="E886" s="68" t="s">
        <v>3753</v>
      </c>
      <c r="F886" s="67">
        <v>3</v>
      </c>
      <c r="G886" s="67" t="s">
        <v>2835</v>
      </c>
      <c r="H886" s="69">
        <v>45243</v>
      </c>
      <c r="I886" s="69" t="s">
        <v>1086</v>
      </c>
      <c r="J886" s="69" t="s">
        <v>78</v>
      </c>
      <c r="K886" s="67">
        <f>IFERROR(VLOOKUP(J886,Jueces!$A$1:$B$11,2,FALSE),"")</f>
        <v>8</v>
      </c>
      <c r="L886" s="67" t="s">
        <v>2086</v>
      </c>
      <c r="M886" s="67" t="s">
        <v>695</v>
      </c>
      <c r="N886" s="67" t="s">
        <v>4084</v>
      </c>
      <c r="O886" s="83" t="str">
        <f t="shared" ca="1" si="51"/>
        <v>SI</v>
      </c>
      <c r="P886" s="83" t="str">
        <f t="shared" si="50"/>
        <v>DIANOSOL</v>
      </c>
      <c r="Q886" s="67" t="s">
        <v>151</v>
      </c>
      <c r="R886" s="67" t="str">
        <f>VLOOKUP($Q886,Resultados!$A$1:$B$49,2,FALSE)</f>
        <v>Prisión Preventiva</v>
      </c>
      <c r="S886" s="67" t="s">
        <v>1084</v>
      </c>
      <c r="T886" s="86" t="str">
        <f t="shared" si="52"/>
        <v>NO</v>
      </c>
      <c r="U886" s="86"/>
      <c r="V886" s="83"/>
      <c r="W886" s="67" t="s">
        <v>1535</v>
      </c>
      <c r="X886" s="67" t="s">
        <v>4085</v>
      </c>
      <c r="Y886" s="67"/>
      <c r="Z886" s="67"/>
      <c r="AA886" s="123" t="s">
        <v>2892</v>
      </c>
      <c r="AB886" s="67" t="s">
        <v>1174</v>
      </c>
      <c r="AC886" s="379"/>
    </row>
    <row r="887" spans="1:29" ht="39.950000000000003" customHeight="1">
      <c r="A887" s="67">
        <v>922</v>
      </c>
      <c r="B887" s="69">
        <v>45231</v>
      </c>
      <c r="C887" s="74">
        <v>0.41736111111111113</v>
      </c>
      <c r="D887" s="362" t="s">
        <v>3770</v>
      </c>
      <c r="E887" s="68" t="s">
        <v>3771</v>
      </c>
      <c r="F887" s="67">
        <v>1</v>
      </c>
      <c r="G887" s="67" t="s">
        <v>1440</v>
      </c>
      <c r="H887" s="69">
        <v>45243</v>
      </c>
      <c r="I887" s="69" t="s">
        <v>1086</v>
      </c>
      <c r="J887" s="69" t="s">
        <v>35</v>
      </c>
      <c r="K887" s="67">
        <f>IFERROR(VLOOKUP(J887,Jueces!$A$1:$B$11,2,FALSE),"")</f>
        <v>3</v>
      </c>
      <c r="L887" s="67" t="s">
        <v>807</v>
      </c>
      <c r="M887" s="67" t="s">
        <v>712</v>
      </c>
      <c r="N887" s="67" t="s">
        <v>4089</v>
      </c>
      <c r="O887" s="67" t="str">
        <f t="shared" ca="1" si="51"/>
        <v>SI</v>
      </c>
      <c r="P887" s="67" t="str">
        <f t="shared" si="50"/>
        <v>DIANOSOL</v>
      </c>
      <c r="Q887" s="67" t="s">
        <v>904</v>
      </c>
      <c r="R887" s="67" t="str">
        <f>VLOOKUP($Q887,Resultados!$A$1:$B$49,2,FALSE)</f>
        <v>Juicio Abreviado</v>
      </c>
      <c r="S887" s="67" t="s">
        <v>2955</v>
      </c>
      <c r="T887" s="77" t="str">
        <f t="shared" si="52"/>
        <v>SI</v>
      </c>
      <c r="U887" s="77"/>
      <c r="V887" s="67"/>
      <c r="W887" s="67" t="s">
        <v>3402</v>
      </c>
      <c r="X887" s="67" t="s">
        <v>2568</v>
      </c>
      <c r="Y887" s="67"/>
      <c r="Z887" s="67"/>
      <c r="AA887" s="123" t="s">
        <v>1170</v>
      </c>
      <c r="AB887" s="67" t="s">
        <v>1176</v>
      </c>
      <c r="AC887" s="379" t="s">
        <v>1799</v>
      </c>
    </row>
    <row r="888" spans="1:29" ht="39.950000000000003" customHeight="1">
      <c r="A888" s="67">
        <v>888</v>
      </c>
      <c r="B888" s="69">
        <v>45223</v>
      </c>
      <c r="C888" s="74">
        <v>0.54305555555555551</v>
      </c>
      <c r="D888" s="67" t="s">
        <v>3643</v>
      </c>
      <c r="E888" s="68" t="s">
        <v>3644</v>
      </c>
      <c r="F888" s="67">
        <v>3</v>
      </c>
      <c r="G888" s="67" t="s">
        <v>2835</v>
      </c>
      <c r="H888" s="69">
        <v>45244</v>
      </c>
      <c r="I888" s="69" t="s">
        <v>73</v>
      </c>
      <c r="J888" s="69" t="s">
        <v>1220</v>
      </c>
      <c r="K888" s="67" t="s">
        <v>1345</v>
      </c>
      <c r="L888" s="67" t="s">
        <v>810</v>
      </c>
      <c r="M888" s="67" t="s">
        <v>694</v>
      </c>
      <c r="N888" s="67" t="s">
        <v>621</v>
      </c>
      <c r="O888" s="83" t="str">
        <f t="shared" ca="1" si="51"/>
        <v>SI</v>
      </c>
      <c r="P888" s="83" t="str">
        <f t="shared" si="50"/>
        <v>DIANOSOL</v>
      </c>
      <c r="Q888" s="67" t="s">
        <v>151</v>
      </c>
      <c r="R888" s="67" t="str">
        <f>VLOOKUP($Q888,Resultados!$A$1:$B$49,2,FALSE)</f>
        <v>Prisión Preventiva</v>
      </c>
      <c r="S888" s="67" t="s">
        <v>1426</v>
      </c>
      <c r="T888" s="86" t="str">
        <f t="shared" si="52"/>
        <v>NO</v>
      </c>
      <c r="U888" s="86"/>
      <c r="V888" s="83"/>
      <c r="W888" s="67" t="s">
        <v>1496</v>
      </c>
      <c r="X888" s="67" t="s">
        <v>2568</v>
      </c>
      <c r="Y888" s="67"/>
      <c r="Z888" s="123" t="s">
        <v>770</v>
      </c>
      <c r="AA888" s="123" t="s">
        <v>2892</v>
      </c>
      <c r="AB888" s="123" t="s">
        <v>1172</v>
      </c>
      <c r="AC888" s="379"/>
    </row>
    <row r="889" spans="1:29" ht="39.950000000000003" customHeight="1">
      <c r="A889" s="67">
        <v>926</v>
      </c>
      <c r="B889" s="69">
        <v>45231</v>
      </c>
      <c r="C889" s="74">
        <v>0.48541666666666666</v>
      </c>
      <c r="D889" s="67" t="s">
        <v>3776</v>
      </c>
      <c r="E889" s="68" t="s">
        <v>3777</v>
      </c>
      <c r="F889" s="67">
        <v>6</v>
      </c>
      <c r="G889" s="67" t="s">
        <v>568</v>
      </c>
      <c r="H889" s="69">
        <v>45244</v>
      </c>
      <c r="I889" s="69" t="s">
        <v>73</v>
      </c>
      <c r="J889" s="69" t="s">
        <v>78</v>
      </c>
      <c r="K889" s="67">
        <f>IFERROR(VLOOKUP(J889,Jueces!$A$1:$B$11,2,FALSE),"")</f>
        <v>8</v>
      </c>
      <c r="L889" s="67" t="s">
        <v>803</v>
      </c>
      <c r="M889" s="385" t="s">
        <v>3799</v>
      </c>
      <c r="N889" s="67" t="s">
        <v>4142</v>
      </c>
      <c r="O889" s="83" t="str">
        <f t="shared" ca="1" si="51"/>
        <v>SI</v>
      </c>
      <c r="P889" s="83" t="str">
        <f t="shared" si="50"/>
        <v>DIANOSOL</v>
      </c>
      <c r="Q889" s="67" t="s">
        <v>151</v>
      </c>
      <c r="R889" s="67" t="str">
        <f>VLOOKUP($Q889,Resultados!$A$1:$B$49,2,FALSE)</f>
        <v>Prisión Preventiva</v>
      </c>
      <c r="S889" s="67" t="s">
        <v>3132</v>
      </c>
      <c r="T889" s="86" t="str">
        <f t="shared" si="52"/>
        <v>NO</v>
      </c>
      <c r="U889" s="86"/>
      <c r="V889" s="83"/>
      <c r="W889" s="67" t="s">
        <v>1302</v>
      </c>
      <c r="X889" s="67" t="s">
        <v>4143</v>
      </c>
      <c r="Y889" s="67"/>
      <c r="Z889" s="123" t="s">
        <v>748</v>
      </c>
      <c r="AA889" s="123" t="s">
        <v>3422</v>
      </c>
      <c r="AB889" s="123" t="s">
        <v>3297</v>
      </c>
      <c r="AC889" s="379"/>
    </row>
    <row r="890" spans="1:29" ht="39.950000000000003" customHeight="1">
      <c r="A890" s="67">
        <v>927</v>
      </c>
      <c r="B890" s="69"/>
      <c r="C890" s="67"/>
      <c r="D890" s="67" t="s">
        <v>3413</v>
      </c>
      <c r="E890" s="68" t="s">
        <v>3779</v>
      </c>
      <c r="F890" s="67">
        <v>2</v>
      </c>
      <c r="G890" s="67" t="s">
        <v>1441</v>
      </c>
      <c r="H890" s="69">
        <v>45244</v>
      </c>
      <c r="I890" s="69" t="s">
        <v>73</v>
      </c>
      <c r="J890" s="69" t="s">
        <v>35</v>
      </c>
      <c r="K890" s="67">
        <f>IFERROR(VLOOKUP(J890,Jueces!$A$1:$B$11,2,FALSE),"")</f>
        <v>3</v>
      </c>
      <c r="L890" s="67" t="s">
        <v>798</v>
      </c>
      <c r="M890" s="67" t="s">
        <v>711</v>
      </c>
      <c r="N890" s="67" t="s">
        <v>4140</v>
      </c>
      <c r="O890" s="83" t="str">
        <f t="shared" ca="1" si="51"/>
        <v>SI</v>
      </c>
      <c r="P890" s="83" t="str">
        <f t="shared" si="50"/>
        <v>DIANOSOL</v>
      </c>
      <c r="Q890" s="67" t="s">
        <v>904</v>
      </c>
      <c r="R890" s="67" t="str">
        <f>VLOOKUP($Q890,Resultados!$A$1:$B$49,2,FALSE)</f>
        <v>Juicio Abreviado</v>
      </c>
      <c r="S890" s="67" t="s">
        <v>1565</v>
      </c>
      <c r="T890" s="86" t="str">
        <f t="shared" si="52"/>
        <v>NO</v>
      </c>
      <c r="U890" s="86"/>
      <c r="V890" s="83"/>
      <c r="W890" s="67" t="s">
        <v>1233</v>
      </c>
      <c r="X890" s="67" t="s">
        <v>2379</v>
      </c>
      <c r="Y890" s="67"/>
      <c r="Z890" s="123" t="s">
        <v>3410</v>
      </c>
      <c r="AA890" s="123" t="s">
        <v>3422</v>
      </c>
      <c r="AB890" s="123" t="s">
        <v>1174</v>
      </c>
      <c r="AC890" s="379"/>
    </row>
    <row r="891" spans="1:29" ht="39.950000000000003" customHeight="1">
      <c r="A891" s="67">
        <v>901</v>
      </c>
      <c r="B891" s="69">
        <v>45226</v>
      </c>
      <c r="C891" s="74">
        <v>0.46319444444444446</v>
      </c>
      <c r="D891" s="67" t="s">
        <v>3668</v>
      </c>
      <c r="E891" s="68" t="s">
        <v>3669</v>
      </c>
      <c r="F891" s="67">
        <v>2</v>
      </c>
      <c r="G891" s="67" t="s">
        <v>3362</v>
      </c>
      <c r="H891" s="69">
        <v>45244</v>
      </c>
      <c r="I891" s="69" t="s">
        <v>749</v>
      </c>
      <c r="J891" s="69" t="s">
        <v>1224</v>
      </c>
      <c r="K891" s="67">
        <f>IFERROR(VLOOKUP(J891,Jueces!$A$1:$B$11,2,FALSE),"")</f>
        <v>6</v>
      </c>
      <c r="L891" s="67" t="s">
        <v>812</v>
      </c>
      <c r="M891" s="67" t="s">
        <v>693</v>
      </c>
      <c r="N891" s="67" t="s">
        <v>621</v>
      </c>
      <c r="O891" s="83" t="str">
        <f t="shared" ca="1" si="51"/>
        <v>SI</v>
      </c>
      <c r="P891" s="83" t="str">
        <f t="shared" si="50"/>
        <v>DIANOSOL</v>
      </c>
      <c r="Q891" s="67" t="s">
        <v>151</v>
      </c>
      <c r="R891" s="67" t="str">
        <f>VLOOKUP($Q891,Resultados!$A$1:$B$49,2,FALSE)</f>
        <v>Prisión Preventiva</v>
      </c>
      <c r="S891" s="67" t="s">
        <v>3285</v>
      </c>
      <c r="T891" s="86" t="str">
        <f t="shared" si="52"/>
        <v>NO</v>
      </c>
      <c r="U891" s="86"/>
      <c r="V891" s="83"/>
      <c r="W891" s="67" t="s">
        <v>2058</v>
      </c>
      <c r="X891" s="67" t="s">
        <v>4139</v>
      </c>
      <c r="Y891" s="67"/>
      <c r="Z891" s="123" t="s">
        <v>1041</v>
      </c>
      <c r="AA891" s="123" t="s">
        <v>2892</v>
      </c>
      <c r="AB891" s="123" t="s">
        <v>3361</v>
      </c>
      <c r="AC891" s="379"/>
    </row>
    <row r="892" spans="1:29" ht="39.950000000000003" customHeight="1">
      <c r="A892" s="67">
        <v>843</v>
      </c>
      <c r="B892" s="69">
        <v>45218</v>
      </c>
      <c r="C892" s="74">
        <v>0.42222222222222222</v>
      </c>
      <c r="D892" s="67" t="s">
        <v>3492</v>
      </c>
      <c r="E892" s="68" t="s">
        <v>3498</v>
      </c>
      <c r="F892" s="67">
        <v>2</v>
      </c>
      <c r="G892" s="67" t="s">
        <v>3363</v>
      </c>
      <c r="H892" s="69">
        <v>45244</v>
      </c>
      <c r="I892" s="69" t="s">
        <v>1086</v>
      </c>
      <c r="J892" s="69" t="s">
        <v>35</v>
      </c>
      <c r="K892" s="67">
        <f>IFERROR(VLOOKUP(J892,Jueces!$A$1:$B$11,2,FALSE),"")</f>
        <v>3</v>
      </c>
      <c r="L892" s="67" t="s">
        <v>814</v>
      </c>
      <c r="M892" s="385" t="s">
        <v>2699</v>
      </c>
      <c r="N892" s="67" t="s">
        <v>4141</v>
      </c>
      <c r="O892" s="83" t="str">
        <f t="shared" ca="1" si="51"/>
        <v>SI</v>
      </c>
      <c r="P892" s="83" t="str">
        <f t="shared" si="50"/>
        <v>DIANOSOL</v>
      </c>
      <c r="Q892" s="67" t="s">
        <v>151</v>
      </c>
      <c r="R892" s="67" t="str">
        <f>VLOOKUP($Q892,Resultados!$A$1:$B$49,2,FALSE)</f>
        <v>Prisión Preventiva</v>
      </c>
      <c r="S892" s="67" t="s">
        <v>1391</v>
      </c>
      <c r="T892" s="86" t="str">
        <f t="shared" si="52"/>
        <v>NO</v>
      </c>
      <c r="U892" s="86"/>
      <c r="V892" s="83"/>
      <c r="W892" s="67" t="s">
        <v>1251</v>
      </c>
      <c r="X892" s="67" t="s">
        <v>3193</v>
      </c>
      <c r="Y892" s="67"/>
      <c r="Z892" s="123" t="s">
        <v>3410</v>
      </c>
      <c r="AA892" s="123" t="s">
        <v>2849</v>
      </c>
      <c r="AB892" s="123" t="s">
        <v>1176</v>
      </c>
      <c r="AC892" s="379"/>
    </row>
    <row r="893" spans="1:29" ht="39.950000000000003" customHeight="1">
      <c r="A893" s="67">
        <v>881</v>
      </c>
      <c r="B893" s="69">
        <v>45225</v>
      </c>
      <c r="C893" s="74">
        <v>0.38541666666666669</v>
      </c>
      <c r="D893" s="67" t="s">
        <v>3624</v>
      </c>
      <c r="E893" s="68" t="s">
        <v>3625</v>
      </c>
      <c r="F893" s="67">
        <v>3</v>
      </c>
      <c r="G893" s="67" t="s">
        <v>1440</v>
      </c>
      <c r="H893" s="69">
        <v>45244</v>
      </c>
      <c r="I893" s="69" t="s">
        <v>1086</v>
      </c>
      <c r="J893" s="69" t="s">
        <v>1219</v>
      </c>
      <c r="K893" s="67">
        <f>IFERROR(VLOOKUP(J893,Jueces!$A$1:$B$11,2,FALSE),"")</f>
        <v>1</v>
      </c>
      <c r="L893" s="67" t="s">
        <v>791</v>
      </c>
      <c r="M893" s="67" t="s">
        <v>694</v>
      </c>
      <c r="N893" s="67" t="s">
        <v>4148</v>
      </c>
      <c r="O893" s="83" t="str">
        <f t="shared" ca="1" si="51"/>
        <v>SI</v>
      </c>
      <c r="P893" s="83" t="str">
        <f t="shared" si="50"/>
        <v>DIANOSOL</v>
      </c>
      <c r="Q893" s="67" t="s">
        <v>904</v>
      </c>
      <c r="R893" s="67" t="str">
        <f>VLOOKUP($Q893,Resultados!$A$1:$B$49,2,FALSE)</f>
        <v>Juicio Abreviado</v>
      </c>
      <c r="S893" s="67" t="s">
        <v>1608</v>
      </c>
      <c r="T893" s="86" t="str">
        <f t="shared" si="52"/>
        <v>SI</v>
      </c>
      <c r="U893" s="86"/>
      <c r="V893" s="83"/>
      <c r="W893" s="67" t="s">
        <v>3209</v>
      </c>
      <c r="X893" s="67" t="s">
        <v>3193</v>
      </c>
      <c r="Y893" s="67"/>
      <c r="Z893" s="123" t="s">
        <v>770</v>
      </c>
      <c r="AA893" s="123" t="s">
        <v>2849</v>
      </c>
      <c r="AB893" s="123" t="s">
        <v>1173</v>
      </c>
      <c r="AC893" s="379"/>
    </row>
    <row r="894" spans="1:29" ht="39.950000000000003" customHeight="1">
      <c r="A894" s="67">
        <v>924</v>
      </c>
      <c r="B894" s="69">
        <v>45231</v>
      </c>
      <c r="C894" s="74">
        <v>0.46319444444444446</v>
      </c>
      <c r="D894" s="67" t="s">
        <v>3774</v>
      </c>
      <c r="E894" s="68" t="s">
        <v>3797</v>
      </c>
      <c r="F894" s="67">
        <v>3</v>
      </c>
      <c r="G894" s="67" t="s">
        <v>283</v>
      </c>
      <c r="H894" s="69">
        <v>45244</v>
      </c>
      <c r="I894" s="69" t="s">
        <v>1086</v>
      </c>
      <c r="J894" s="69" t="s">
        <v>78</v>
      </c>
      <c r="K894" s="67">
        <f>IFERROR(VLOOKUP(J894,Jueces!$A$1:$B$11,2,FALSE),"")</f>
        <v>8</v>
      </c>
      <c r="L894" s="67" t="s">
        <v>801</v>
      </c>
      <c r="M894" s="67" t="s">
        <v>1964</v>
      </c>
      <c r="N894" s="67" t="s">
        <v>621</v>
      </c>
      <c r="O894" s="83" t="str">
        <f t="shared" ca="1" si="51"/>
        <v>SI</v>
      </c>
      <c r="P894" s="83" t="str">
        <f t="shared" si="50"/>
        <v>DIANOSOL</v>
      </c>
      <c r="Q894" s="67" t="s">
        <v>151</v>
      </c>
      <c r="R894" s="67" t="str">
        <f>VLOOKUP($Q894,Resultados!$A$1:$B$49,2,FALSE)</f>
        <v>Prisión Preventiva</v>
      </c>
      <c r="S894" s="67" t="s">
        <v>4144</v>
      </c>
      <c r="T894" s="86" t="str">
        <f t="shared" si="52"/>
        <v>NO</v>
      </c>
      <c r="U894" s="86"/>
      <c r="V894" s="83"/>
      <c r="W894" s="67" t="s">
        <v>3679</v>
      </c>
      <c r="X894" s="67" t="s">
        <v>3193</v>
      </c>
      <c r="Y894" s="67"/>
      <c r="Z894" s="123" t="s">
        <v>748</v>
      </c>
      <c r="AA894" s="123" t="s">
        <v>1170</v>
      </c>
      <c r="AB894" s="123" t="s">
        <v>1172</v>
      </c>
      <c r="AC894" s="379"/>
    </row>
    <row r="895" spans="1:29" ht="39.950000000000003" customHeight="1">
      <c r="A895" s="379">
        <v>1002</v>
      </c>
      <c r="B895" s="416">
        <v>45240</v>
      </c>
      <c r="C895" s="417">
        <v>0.5131944444444444</v>
      </c>
      <c r="D895" s="362" t="s">
        <v>2579</v>
      </c>
      <c r="E895" s="68" t="s">
        <v>4045</v>
      </c>
      <c r="F895" s="379">
        <v>6</v>
      </c>
      <c r="G895" s="379" t="s">
        <v>29</v>
      </c>
      <c r="H895" s="416">
        <v>45244</v>
      </c>
      <c r="I895" s="69" t="s">
        <v>1086</v>
      </c>
      <c r="J895" s="416" t="s">
        <v>1220</v>
      </c>
      <c r="K895" s="67" t="s">
        <v>4073</v>
      </c>
      <c r="L895" s="67" t="s">
        <v>790</v>
      </c>
      <c r="M895" s="67" t="s">
        <v>2123</v>
      </c>
      <c r="N895" s="67" t="s">
        <v>4145</v>
      </c>
      <c r="O895" s="83" t="str">
        <f t="shared" ca="1" si="51"/>
        <v>SI</v>
      </c>
      <c r="P895" s="83" t="str">
        <f t="shared" si="50"/>
        <v>DIANOSOL</v>
      </c>
      <c r="Q895" s="67" t="s">
        <v>904</v>
      </c>
      <c r="R895" s="67" t="str">
        <f>VLOOKUP($Q895,Resultados!$A$1:$B$49,2,FALSE)</f>
        <v>Juicio Abreviado</v>
      </c>
      <c r="S895" s="67" t="s">
        <v>3405</v>
      </c>
      <c r="T895" s="86" t="str">
        <f t="shared" si="52"/>
        <v>NO</v>
      </c>
      <c r="U895" s="86"/>
      <c r="V895" s="80"/>
      <c r="W895" s="67" t="s">
        <v>4146</v>
      </c>
      <c r="X895" s="67" t="s">
        <v>4147</v>
      </c>
      <c r="Y895" s="379"/>
      <c r="Z895" s="123" t="s">
        <v>743</v>
      </c>
      <c r="AA895" s="123"/>
      <c r="AB895" s="123" t="s">
        <v>3297</v>
      </c>
      <c r="AC895" s="379" t="s">
        <v>1799</v>
      </c>
    </row>
    <row r="896" spans="1:29" ht="63.75">
      <c r="A896" s="7">
        <v>872</v>
      </c>
      <c r="B896" s="19">
        <v>45224</v>
      </c>
      <c r="C896" s="15">
        <v>0.43958333333333338</v>
      </c>
      <c r="D896" s="7" t="s">
        <v>3601</v>
      </c>
      <c r="E896" s="41" t="s">
        <v>3602</v>
      </c>
      <c r="F896" s="7">
        <v>3</v>
      </c>
      <c r="G896" s="7" t="s">
        <v>2835</v>
      </c>
      <c r="H896" s="19">
        <v>45245</v>
      </c>
      <c r="I896" s="19" t="s">
        <v>73</v>
      </c>
      <c r="J896" s="19" t="s">
        <v>31</v>
      </c>
      <c r="K896" s="7">
        <f>IFERROR(VLOOKUP(J896,Jueces!$A$1:$B$11,2,FALSE),"")</f>
        <v>2</v>
      </c>
      <c r="L896" s="7" t="s">
        <v>809</v>
      </c>
      <c r="M896" s="7" t="s">
        <v>694</v>
      </c>
      <c r="N896" s="7" t="s">
        <v>4150</v>
      </c>
      <c r="O896" s="81" t="str">
        <f t="shared" ca="1" si="51"/>
        <v>SI</v>
      </c>
      <c r="P896" s="81" t="str">
        <f t="shared" si="50"/>
        <v>DIANOSOL</v>
      </c>
      <c r="Q896" s="7" t="s">
        <v>904</v>
      </c>
      <c r="R896" s="7" t="str">
        <f>VLOOKUP($Q896,Resultados!$A$1:$B$49,2,FALSE)</f>
        <v>Juicio Abreviado</v>
      </c>
      <c r="S896" s="7" t="s">
        <v>1186</v>
      </c>
      <c r="T896" s="397" t="str">
        <f t="shared" si="52"/>
        <v>NO</v>
      </c>
      <c r="U896" s="397"/>
      <c r="V896" s="81"/>
      <c r="W896" s="7" t="s">
        <v>2254</v>
      </c>
      <c r="X896" s="7" t="s">
        <v>2568</v>
      </c>
      <c r="Y896" s="7"/>
      <c r="Z896" s="7" t="s">
        <v>3410</v>
      </c>
      <c r="AA896" s="284" t="s">
        <v>2849</v>
      </c>
      <c r="AB896" s="7" t="s">
        <v>1174</v>
      </c>
      <c r="AC896" s="365"/>
    </row>
    <row r="897" spans="1:29" ht="39.950000000000003" customHeight="1">
      <c r="A897" s="67">
        <v>906</v>
      </c>
      <c r="B897" s="69">
        <v>45229</v>
      </c>
      <c r="C897" s="74">
        <v>0.46527777777777773</v>
      </c>
      <c r="D897" s="67" t="s">
        <v>3721</v>
      </c>
      <c r="E897" s="68" t="s">
        <v>3722</v>
      </c>
      <c r="F897" s="67">
        <v>7</v>
      </c>
      <c r="G897" s="67" t="s">
        <v>568</v>
      </c>
      <c r="H897" s="69">
        <v>45245</v>
      </c>
      <c r="I897" s="69" t="s">
        <v>73</v>
      </c>
      <c r="J897" s="69" t="s">
        <v>35</v>
      </c>
      <c r="K897" s="67">
        <f>IFERROR(VLOOKUP(J897,Jueces!$A$1:$B$11,2,FALSE),"")</f>
        <v>3</v>
      </c>
      <c r="L897" s="67" t="s">
        <v>582</v>
      </c>
      <c r="M897" s="381" t="s">
        <v>2119</v>
      </c>
      <c r="N897" s="67" t="s">
        <v>4157</v>
      </c>
      <c r="O897" s="83" t="str">
        <f t="shared" ca="1" si="51"/>
        <v>SI</v>
      </c>
      <c r="P897" s="83" t="str">
        <f t="shared" si="50"/>
        <v>DIANOSOL</v>
      </c>
      <c r="Q897" s="67" t="s">
        <v>904</v>
      </c>
      <c r="R897" s="67" t="str">
        <f>VLOOKUP($Q897,Resultados!$A$1:$B$49,2,FALSE)</f>
        <v>Juicio Abreviado</v>
      </c>
      <c r="S897" s="67" t="s">
        <v>1535</v>
      </c>
      <c r="T897" s="86" t="str">
        <f t="shared" si="52"/>
        <v>NO</v>
      </c>
      <c r="U897" s="86"/>
      <c r="V897" s="83"/>
      <c r="W897" s="67" t="s">
        <v>2343</v>
      </c>
      <c r="X897" s="67" t="s">
        <v>4158</v>
      </c>
      <c r="Y897" s="67"/>
      <c r="Z897" s="67" t="s">
        <v>1042</v>
      </c>
      <c r="AA897" s="67"/>
      <c r="AB897" s="67" t="s">
        <v>3361</v>
      </c>
      <c r="AC897" s="379"/>
    </row>
    <row r="898" spans="1:29" ht="39.950000000000003" customHeight="1">
      <c r="A898" s="67">
        <v>918</v>
      </c>
      <c r="B898" s="69">
        <v>45231</v>
      </c>
      <c r="C898" s="74">
        <v>0.39374999999999999</v>
      </c>
      <c r="D898" s="67" t="s">
        <v>3766</v>
      </c>
      <c r="E898" s="68" t="s">
        <v>3798</v>
      </c>
      <c r="F898" s="67">
        <v>3</v>
      </c>
      <c r="G898" s="67" t="s">
        <v>2785</v>
      </c>
      <c r="H898" s="69">
        <v>45245</v>
      </c>
      <c r="I898" s="69" t="s">
        <v>73</v>
      </c>
      <c r="J898" s="69" t="s">
        <v>78</v>
      </c>
      <c r="K898" s="67">
        <v>8</v>
      </c>
      <c r="L898" s="67" t="s">
        <v>803</v>
      </c>
      <c r="M898" s="67" t="s">
        <v>695</v>
      </c>
      <c r="N898" s="67" t="s">
        <v>4151</v>
      </c>
      <c r="O898" s="83" t="str">
        <f t="shared" ca="1" si="51"/>
        <v>SI</v>
      </c>
      <c r="P898" s="83" t="str">
        <f t="shared" si="50"/>
        <v>DIANOSOL</v>
      </c>
      <c r="Q898" s="67" t="s">
        <v>904</v>
      </c>
      <c r="R898" s="67" t="str">
        <f>VLOOKUP($Q898,Resultados!$A$1:$B$49,2,FALSE)</f>
        <v>Juicio Abreviado</v>
      </c>
      <c r="S898" s="67" t="s">
        <v>1008</v>
      </c>
      <c r="T898" s="86" t="str">
        <f t="shared" si="52"/>
        <v>NO</v>
      </c>
      <c r="U898" s="86"/>
      <c r="V898" s="83"/>
      <c r="W898" s="67" t="s">
        <v>1137</v>
      </c>
      <c r="X898" s="67" t="s">
        <v>4152</v>
      </c>
      <c r="Y898" s="67"/>
      <c r="Z898" s="67" t="s">
        <v>1041</v>
      </c>
      <c r="AA898" s="123" t="s">
        <v>2892</v>
      </c>
      <c r="AB898" s="67" t="s">
        <v>1176</v>
      </c>
      <c r="AC898" s="379"/>
    </row>
    <row r="899" spans="1:29" ht="39.950000000000003" customHeight="1">
      <c r="A899" s="67">
        <v>921</v>
      </c>
      <c r="B899" s="69">
        <v>45231</v>
      </c>
      <c r="C899" s="74">
        <v>0.41736111111111113</v>
      </c>
      <c r="D899" s="67" t="s">
        <v>3768</v>
      </c>
      <c r="E899" s="68" t="s">
        <v>3769</v>
      </c>
      <c r="F899" s="67">
        <v>3</v>
      </c>
      <c r="G899" s="67" t="s">
        <v>3362</v>
      </c>
      <c r="H899" s="69">
        <v>45245</v>
      </c>
      <c r="I899" s="69" t="s">
        <v>749</v>
      </c>
      <c r="J899" s="69" t="s">
        <v>1224</v>
      </c>
      <c r="K899" s="67">
        <f>IFERROR(VLOOKUP(J899,Jueces!$A$1:$B$11,2,FALSE),"")</f>
        <v>6</v>
      </c>
      <c r="L899" s="67" t="s">
        <v>813</v>
      </c>
      <c r="M899" s="67" t="s">
        <v>3813</v>
      </c>
      <c r="N899" s="67" t="s">
        <v>621</v>
      </c>
      <c r="O899" s="83" t="str">
        <f t="shared" ca="1" si="51"/>
        <v>SI</v>
      </c>
      <c r="P899" s="83" t="str">
        <f t="shared" ref="P899:P962" si="53">IF($P$1=H899,"DIASOL", "DIANOSOL")</f>
        <v>DIANOSOL</v>
      </c>
      <c r="Q899" s="67" t="s">
        <v>151</v>
      </c>
      <c r="R899" s="67" t="str">
        <f>VLOOKUP($Q899,Resultados!$A$1:$B$49,2,FALSE)</f>
        <v>Prisión Preventiva</v>
      </c>
      <c r="S899" s="67" t="s">
        <v>686</v>
      </c>
      <c r="T899" s="86" t="str">
        <f t="shared" si="52"/>
        <v>NO</v>
      </c>
      <c r="U899" s="86"/>
      <c r="V899" s="83"/>
      <c r="W899" s="67" t="s">
        <v>1745</v>
      </c>
      <c r="X899" s="107" t="s">
        <v>4156</v>
      </c>
      <c r="Y899" s="67"/>
      <c r="Z899" s="67" t="s">
        <v>743</v>
      </c>
      <c r="AA899" s="123" t="s">
        <v>2892</v>
      </c>
      <c r="AB899" s="67" t="s">
        <v>1173</v>
      </c>
      <c r="AC899" s="379"/>
    </row>
    <row r="900" spans="1:29" ht="39.950000000000003" customHeight="1">
      <c r="A900" s="67">
        <v>892</v>
      </c>
      <c r="B900" s="69">
        <v>45225</v>
      </c>
      <c r="C900" s="74">
        <v>0.3444444444444445</v>
      </c>
      <c r="D900" s="67" t="s">
        <v>3796</v>
      </c>
      <c r="E900" s="68" t="s">
        <v>3778</v>
      </c>
      <c r="F900" s="67">
        <v>3</v>
      </c>
      <c r="G900" s="67" t="s">
        <v>1441</v>
      </c>
      <c r="H900" s="69">
        <v>45245</v>
      </c>
      <c r="I900" s="69" t="s">
        <v>1086</v>
      </c>
      <c r="J900" s="69" t="s">
        <v>1219</v>
      </c>
      <c r="K900" s="67">
        <f>IFERROR(VLOOKUP(J900,Jueces!$A$1:$B$11,2,FALSE),"")</f>
        <v>1</v>
      </c>
      <c r="L900" s="67" t="s">
        <v>789</v>
      </c>
      <c r="M900" s="67" t="s">
        <v>4154</v>
      </c>
      <c r="N900" s="67" t="s">
        <v>4155</v>
      </c>
      <c r="O900" s="83" t="str">
        <f t="shared" ca="1" si="51"/>
        <v>SI</v>
      </c>
      <c r="P900" s="83" t="str">
        <f t="shared" si="53"/>
        <v>DIANOSOL</v>
      </c>
      <c r="Q900" s="67" t="s">
        <v>151</v>
      </c>
      <c r="R900" s="67" t="str">
        <f>VLOOKUP($Q900,Resultados!$A$1:$B$49,2,FALSE)</f>
        <v>Prisión Preventiva</v>
      </c>
      <c r="S900" s="67" t="s">
        <v>76</v>
      </c>
      <c r="T900" s="86" t="str">
        <f t="shared" si="52"/>
        <v>NO</v>
      </c>
      <c r="U900" s="86"/>
      <c r="V900" s="83"/>
      <c r="W900" s="67" t="s">
        <v>1744</v>
      </c>
      <c r="X900" s="67" t="s">
        <v>4153</v>
      </c>
      <c r="Y900" s="67"/>
      <c r="Z900" s="67" t="s">
        <v>743</v>
      </c>
      <c r="AA900" s="123" t="s">
        <v>3422</v>
      </c>
      <c r="AB900" s="123" t="s">
        <v>1172</v>
      </c>
      <c r="AC900" s="379"/>
    </row>
    <row r="901" spans="1:29" ht="39.950000000000003" customHeight="1">
      <c r="A901" s="67">
        <v>933</v>
      </c>
      <c r="B901" s="69">
        <v>45232</v>
      </c>
      <c r="C901" s="74">
        <v>0.4069444444444445</v>
      </c>
      <c r="D901" s="67" t="s">
        <v>3807</v>
      </c>
      <c r="E901" s="68" t="s">
        <v>3808</v>
      </c>
      <c r="F901" s="67">
        <v>3</v>
      </c>
      <c r="G901" s="67" t="s">
        <v>283</v>
      </c>
      <c r="H901" s="69">
        <v>45245</v>
      </c>
      <c r="I901" s="69" t="s">
        <v>1086</v>
      </c>
      <c r="J901" s="69" t="s">
        <v>31</v>
      </c>
      <c r="K901" s="67">
        <f>IFERROR(VLOOKUP(J901,Jueces!$A$1:$B$11,2,FALSE),"")</f>
        <v>2</v>
      </c>
      <c r="L901" s="67" t="s">
        <v>813</v>
      </c>
      <c r="M901" s="67" t="s">
        <v>3813</v>
      </c>
      <c r="N901" s="67" t="s">
        <v>2566</v>
      </c>
      <c r="O901" s="83" t="str">
        <f t="shared" ca="1" si="51"/>
        <v>SI</v>
      </c>
      <c r="P901" s="83" t="str">
        <f t="shared" si="53"/>
        <v>DIANOSOL</v>
      </c>
      <c r="Q901" s="67" t="s">
        <v>899</v>
      </c>
      <c r="R901" s="67" t="str">
        <f>VLOOKUP($Q901,Resultados!$A$1:$B$49,2,FALSE)</f>
        <v>Libertad</v>
      </c>
      <c r="S901" s="67" t="s">
        <v>1209</v>
      </c>
      <c r="T901" s="86" t="str">
        <f t="shared" si="52"/>
        <v>NO</v>
      </c>
      <c r="U901" s="86"/>
      <c r="V901" s="83"/>
      <c r="W901" s="67" t="s">
        <v>1509</v>
      </c>
      <c r="X901" s="67" t="s">
        <v>2981</v>
      </c>
      <c r="Y901" s="67"/>
      <c r="Z901" s="67" t="s">
        <v>3410</v>
      </c>
      <c r="AA901" s="123" t="s">
        <v>2849</v>
      </c>
      <c r="AB901" s="123" t="s">
        <v>3297</v>
      </c>
      <c r="AC901" s="379"/>
    </row>
    <row r="902" spans="1:29" ht="39.950000000000003" customHeight="1">
      <c r="A902" s="67">
        <v>956</v>
      </c>
      <c r="B902" s="69">
        <v>45233</v>
      </c>
      <c r="C902" s="74">
        <v>0.4513888888888889</v>
      </c>
      <c r="D902" s="67" t="s">
        <v>3902</v>
      </c>
      <c r="E902" s="68" t="s">
        <v>3903</v>
      </c>
      <c r="F902" s="67">
        <v>5</v>
      </c>
      <c r="G902" s="67" t="s">
        <v>3850</v>
      </c>
      <c r="H902" s="69">
        <v>45246</v>
      </c>
      <c r="I902" s="69" t="s">
        <v>73</v>
      </c>
      <c r="J902" s="69" t="s">
        <v>31</v>
      </c>
      <c r="K902" s="67">
        <v>2</v>
      </c>
      <c r="L902" s="67" t="s">
        <v>2092</v>
      </c>
      <c r="M902" s="67" t="s">
        <v>712</v>
      </c>
      <c r="N902" s="67" t="s">
        <v>1900</v>
      </c>
      <c r="O902" s="83" t="str">
        <f t="shared" ca="1" si="51"/>
        <v>SI</v>
      </c>
      <c r="P902" s="83" t="str">
        <f t="shared" si="53"/>
        <v>DIASOL</v>
      </c>
      <c r="Q902" s="67" t="s">
        <v>1900</v>
      </c>
      <c r="R902" s="67" t="str">
        <f>VLOOKUP($Q902,Resultados!$A$1:$B$49,2,FALSE)</f>
        <v>Sobreseimiento</v>
      </c>
      <c r="S902" s="67" t="s">
        <v>1565</v>
      </c>
      <c r="T902" s="86" t="str">
        <f t="shared" si="52"/>
        <v>NO</v>
      </c>
      <c r="U902" s="86"/>
      <c r="V902" s="83"/>
      <c r="W902" s="67" t="s">
        <v>1065</v>
      </c>
      <c r="X902" s="67" t="s">
        <v>4159</v>
      </c>
      <c r="Y902" s="67"/>
      <c r="Z902" s="123" t="s">
        <v>748</v>
      </c>
      <c r="AA902" s="123" t="s">
        <v>2849</v>
      </c>
      <c r="AB902" s="123" t="s">
        <v>1174</v>
      </c>
      <c r="AC902" s="379"/>
    </row>
    <row r="903" spans="1:29" ht="39.950000000000003" customHeight="1">
      <c r="A903" s="67">
        <v>891</v>
      </c>
      <c r="B903" s="69">
        <v>45225</v>
      </c>
      <c r="C903" s="74">
        <v>0.46458333333333335</v>
      </c>
      <c r="D903" s="67" t="s">
        <v>3650</v>
      </c>
      <c r="E903" s="68" t="s">
        <v>3656</v>
      </c>
      <c r="F903" s="67">
        <v>3</v>
      </c>
      <c r="G903" s="67" t="s">
        <v>3362</v>
      </c>
      <c r="H903" s="69">
        <v>45246</v>
      </c>
      <c r="I903" s="69" t="s">
        <v>73</v>
      </c>
      <c r="J903" s="69" t="s">
        <v>78</v>
      </c>
      <c r="K903" s="67">
        <f>IFERROR(VLOOKUP(J903,Jueces!$A$1:$B$11,2,FALSE),"")</f>
        <v>8</v>
      </c>
      <c r="L903" s="67" t="s">
        <v>812</v>
      </c>
      <c r="M903" s="67" t="s">
        <v>694</v>
      </c>
      <c r="N903" s="67" t="s">
        <v>3222</v>
      </c>
      <c r="O903" s="83" t="str">
        <f t="shared" ca="1" si="51"/>
        <v>SI</v>
      </c>
      <c r="P903" s="83" t="str">
        <f t="shared" si="53"/>
        <v>DIASOL</v>
      </c>
      <c r="Q903" s="67" t="s">
        <v>905</v>
      </c>
      <c r="R903" s="67" t="str">
        <f>VLOOKUP($Q903,Resultados!$A$1:$B$49,2,FALSE)</f>
        <v>Juicio Abreviado</v>
      </c>
      <c r="S903" s="67" t="s">
        <v>1426</v>
      </c>
      <c r="T903" s="86" t="str">
        <f t="shared" si="52"/>
        <v>NO</v>
      </c>
      <c r="U903" s="86"/>
      <c r="V903" s="83"/>
      <c r="W903" s="67" t="s">
        <v>1128</v>
      </c>
      <c r="X903" s="67" t="s">
        <v>3483</v>
      </c>
      <c r="Y903" s="67"/>
      <c r="Z903" s="123" t="s">
        <v>1041</v>
      </c>
      <c r="AA903" s="123" t="s">
        <v>2892</v>
      </c>
      <c r="AB903" s="123" t="s">
        <v>3361</v>
      </c>
      <c r="AC903" s="379"/>
    </row>
    <row r="904" spans="1:29" ht="39.950000000000003" customHeight="1">
      <c r="A904" s="67">
        <v>908</v>
      </c>
      <c r="B904" s="69">
        <v>45230</v>
      </c>
      <c r="C904" s="67" t="s">
        <v>3149</v>
      </c>
      <c r="D904" s="67" t="s">
        <v>3729</v>
      </c>
      <c r="E904" s="68" t="s">
        <v>3742</v>
      </c>
      <c r="F904" s="67">
        <v>3</v>
      </c>
      <c r="G904" s="67" t="s">
        <v>1440</v>
      </c>
      <c r="H904" s="69">
        <v>45246</v>
      </c>
      <c r="I904" s="69" t="s">
        <v>73</v>
      </c>
      <c r="J904" s="69" t="s">
        <v>2951</v>
      </c>
      <c r="K904" s="67" t="s">
        <v>3835</v>
      </c>
      <c r="L904" s="67" t="s">
        <v>806</v>
      </c>
      <c r="M904" s="67" t="s">
        <v>1028</v>
      </c>
      <c r="N904" s="67" t="s">
        <v>4163</v>
      </c>
      <c r="O904" s="83" t="str">
        <f t="shared" ca="1" si="51"/>
        <v>SI</v>
      </c>
      <c r="P904" s="83" t="str">
        <f t="shared" si="53"/>
        <v>DIASOL</v>
      </c>
      <c r="Q904" s="67" t="s">
        <v>151</v>
      </c>
      <c r="R904" s="67" t="str">
        <f>VLOOKUP($Q904,Resultados!$A$1:$B$49,2,FALSE)</f>
        <v>Prisión Preventiva</v>
      </c>
      <c r="S904" s="67" t="s">
        <v>2254</v>
      </c>
      <c r="T904" s="86" t="str">
        <f t="shared" si="52"/>
        <v>SI</v>
      </c>
      <c r="U904" s="86"/>
      <c r="V904" s="83"/>
      <c r="W904" s="67" t="s">
        <v>3274</v>
      </c>
      <c r="X904" s="67" t="s">
        <v>4164</v>
      </c>
      <c r="Y904" s="67"/>
      <c r="Z904" s="123" t="s">
        <v>3410</v>
      </c>
      <c r="AA904" s="123" t="s">
        <v>1170</v>
      </c>
      <c r="AB904" s="123" t="s">
        <v>1176</v>
      </c>
      <c r="AC904" s="379"/>
    </row>
    <row r="905" spans="1:29" ht="39.950000000000003" customHeight="1">
      <c r="A905" s="67">
        <v>928</v>
      </c>
      <c r="B905" s="69">
        <v>45231</v>
      </c>
      <c r="C905" s="74">
        <v>0.52569444444444446</v>
      </c>
      <c r="D905" s="67" t="s">
        <v>3782</v>
      </c>
      <c r="E905" s="68" t="s">
        <v>3783</v>
      </c>
      <c r="F905" s="67">
        <v>3</v>
      </c>
      <c r="G905" s="67" t="s">
        <v>1442</v>
      </c>
      <c r="H905" s="69">
        <v>45246</v>
      </c>
      <c r="I905" s="69" t="s">
        <v>73</v>
      </c>
      <c r="J905" s="69" t="s">
        <v>33</v>
      </c>
      <c r="K905" s="67">
        <f>IFERROR(VLOOKUP(J905,Jueces!$A$1:$B$11,2,FALSE),"")</f>
        <v>4</v>
      </c>
      <c r="L905" s="67" t="s">
        <v>2088</v>
      </c>
      <c r="M905" s="67" t="s">
        <v>3813</v>
      </c>
      <c r="N905" s="67" t="s">
        <v>4165</v>
      </c>
      <c r="O905" s="83" t="str">
        <f t="shared" ca="1" si="51"/>
        <v>SI</v>
      </c>
      <c r="P905" s="83" t="str">
        <f t="shared" si="53"/>
        <v>DIASOL</v>
      </c>
      <c r="Q905" s="67" t="s">
        <v>912</v>
      </c>
      <c r="R905" s="67" t="str">
        <f>VLOOKUP($Q905,Resultados!$A$1:$B$49,2,FALSE)</f>
        <v>Suspendida</v>
      </c>
      <c r="S905" s="67"/>
      <c r="T905" s="86" t="str">
        <f t="shared" si="52"/>
        <v>NO</v>
      </c>
      <c r="U905" s="86"/>
      <c r="V905" s="83"/>
      <c r="W905" s="67"/>
      <c r="X905" s="67"/>
      <c r="Y905" s="67"/>
      <c r="Z905" s="123" t="s">
        <v>743</v>
      </c>
      <c r="AA905" s="123" t="s">
        <v>3422</v>
      </c>
      <c r="AB905" s="123" t="s">
        <v>1173</v>
      </c>
      <c r="AC905" s="379"/>
    </row>
    <row r="906" spans="1:29" ht="39.950000000000003" customHeight="1">
      <c r="A906" s="67">
        <v>894</v>
      </c>
      <c r="B906" s="69">
        <v>45226</v>
      </c>
      <c r="C906" s="74">
        <v>0.33333333333333331</v>
      </c>
      <c r="D906" s="67" t="s">
        <v>2296</v>
      </c>
      <c r="E906" s="432" t="s">
        <v>3659</v>
      </c>
      <c r="F906" s="67">
        <v>7</v>
      </c>
      <c r="G906" s="67" t="s">
        <v>283</v>
      </c>
      <c r="H906" s="69">
        <v>45246</v>
      </c>
      <c r="I906" s="69" t="s">
        <v>1086</v>
      </c>
      <c r="J906" s="69" t="s">
        <v>1730</v>
      </c>
      <c r="K906" s="67" t="s">
        <v>3838</v>
      </c>
      <c r="L906" s="67" t="s">
        <v>796</v>
      </c>
      <c r="M906" s="67" t="s">
        <v>3720</v>
      </c>
      <c r="N906" s="67" t="s">
        <v>4168</v>
      </c>
      <c r="O906" s="83" t="str">
        <f t="shared" ca="1" si="51"/>
        <v>SI</v>
      </c>
      <c r="P906" s="83" t="str">
        <f t="shared" si="53"/>
        <v>DIASOL</v>
      </c>
      <c r="Q906" s="67" t="s">
        <v>913</v>
      </c>
      <c r="R906" s="67" t="str">
        <f>VLOOKUP($Q906,Resultados!$A$1:$B$49,2,FALSE)</f>
        <v>Prision domiciliaria</v>
      </c>
      <c r="S906" s="67" t="s">
        <v>76</v>
      </c>
      <c r="T906" s="86" t="str">
        <f t="shared" si="52"/>
        <v>NO</v>
      </c>
      <c r="U906" s="86"/>
      <c r="V906" s="83"/>
      <c r="W906" s="74">
        <v>0.39930555555555558</v>
      </c>
      <c r="X906" s="67" t="s">
        <v>3193</v>
      </c>
      <c r="Y906" s="67"/>
      <c r="Z906" s="123" t="s">
        <v>743</v>
      </c>
      <c r="AA906" s="123" t="s">
        <v>1170</v>
      </c>
      <c r="AB906" s="123" t="s">
        <v>1172</v>
      </c>
      <c r="AC906" s="379"/>
    </row>
    <row r="907" spans="1:29" ht="39.950000000000003" customHeight="1">
      <c r="A907" s="67">
        <v>900</v>
      </c>
      <c r="B907" s="69">
        <v>45226</v>
      </c>
      <c r="C907" s="74">
        <v>0.50138888888888888</v>
      </c>
      <c r="D907" s="67" t="s">
        <v>3666</v>
      </c>
      <c r="E907" s="68" t="s">
        <v>3667</v>
      </c>
      <c r="F907" s="67">
        <v>4</v>
      </c>
      <c r="G907" s="67" t="s">
        <v>3363</v>
      </c>
      <c r="H907" s="69">
        <v>45246</v>
      </c>
      <c r="I907" s="69" t="s">
        <v>1086</v>
      </c>
      <c r="J907" s="69" t="s">
        <v>31</v>
      </c>
      <c r="K907" s="67">
        <f>IFERROR(VLOOKUP(J907,Jueces!$A$1:$B$11,2,FALSE),"")</f>
        <v>2</v>
      </c>
      <c r="L907" s="67" t="s">
        <v>809</v>
      </c>
      <c r="M907" s="7" t="s">
        <v>694</v>
      </c>
      <c r="N907" s="67" t="s">
        <v>4162</v>
      </c>
      <c r="O907" s="83" t="str">
        <f t="shared" ca="1" si="51"/>
        <v>SI</v>
      </c>
      <c r="P907" s="83" t="str">
        <f t="shared" si="53"/>
        <v>DIASOL</v>
      </c>
      <c r="Q907" s="67" t="s">
        <v>151</v>
      </c>
      <c r="R907" s="67" t="str">
        <f>VLOOKUP($Q907,Resultados!$A$1:$B$49,2,FALSE)</f>
        <v>Prisión Preventiva</v>
      </c>
      <c r="S907" s="67" t="s">
        <v>1005</v>
      </c>
      <c r="T907" s="86" t="str">
        <f t="shared" si="52"/>
        <v>NO</v>
      </c>
      <c r="U907" s="86"/>
      <c r="V907" s="83"/>
      <c r="W907" s="67" t="s">
        <v>3402</v>
      </c>
      <c r="X907" s="67" t="s">
        <v>3193</v>
      </c>
      <c r="Y907" s="67"/>
      <c r="Z907" s="123" t="s">
        <v>748</v>
      </c>
      <c r="AA907" s="123" t="s">
        <v>2849</v>
      </c>
      <c r="AB907" s="123" t="s">
        <v>3297</v>
      </c>
      <c r="AC907" s="379"/>
    </row>
    <row r="908" spans="1:29" ht="39.950000000000003" customHeight="1">
      <c r="A908" s="67">
        <v>920</v>
      </c>
      <c r="B908" s="69">
        <v>45231</v>
      </c>
      <c r="C908" s="74">
        <v>0.39652777777777781</v>
      </c>
      <c r="D908" s="67" t="s">
        <v>3284</v>
      </c>
      <c r="E908" s="68" t="s">
        <v>3837</v>
      </c>
      <c r="F908" s="67">
        <v>1</v>
      </c>
      <c r="G908" s="67" t="s">
        <v>568</v>
      </c>
      <c r="H908" s="69">
        <v>45246</v>
      </c>
      <c r="I908" s="69" t="s">
        <v>1086</v>
      </c>
      <c r="J908" s="69" t="s">
        <v>1219</v>
      </c>
      <c r="K908" s="67">
        <f>IFERROR(VLOOKUP(J908,Jueces!$A$1:$B$11,2,FALSE),"")</f>
        <v>1</v>
      </c>
      <c r="L908" s="67" t="s">
        <v>806</v>
      </c>
      <c r="M908" s="67" t="s">
        <v>1178</v>
      </c>
      <c r="N908" s="67" t="s">
        <v>4166</v>
      </c>
      <c r="O908" s="83" t="str">
        <f t="shared" ca="1" si="51"/>
        <v>SI</v>
      </c>
      <c r="P908" s="83" t="str">
        <f t="shared" si="53"/>
        <v>DIASOL</v>
      </c>
      <c r="Q908" s="67" t="s">
        <v>904</v>
      </c>
      <c r="R908" s="67" t="str">
        <f>VLOOKUP($Q908,Resultados!$A$1:$B$49,2,FALSE)</f>
        <v>Juicio Abreviado</v>
      </c>
      <c r="S908" s="67" t="s">
        <v>3239</v>
      </c>
      <c r="T908" s="86" t="str">
        <f t="shared" si="52"/>
        <v>NO</v>
      </c>
      <c r="U908" s="86"/>
      <c r="V908" s="83"/>
      <c r="W908" s="67" t="s">
        <v>3736</v>
      </c>
      <c r="X908" s="67" t="s">
        <v>4167</v>
      </c>
      <c r="Y908" s="67"/>
      <c r="Z908" s="123" t="s">
        <v>3410</v>
      </c>
      <c r="AA908" s="123" t="s">
        <v>3422</v>
      </c>
      <c r="AB908" s="123" t="s">
        <v>1174</v>
      </c>
      <c r="AC908" s="379"/>
    </row>
    <row r="909" spans="1:29" ht="39.950000000000003" customHeight="1">
      <c r="A909" s="67">
        <v>934</v>
      </c>
      <c r="B909" s="69">
        <v>45232</v>
      </c>
      <c r="C909" s="74">
        <v>0.34236111111111112</v>
      </c>
      <c r="D909" s="67" t="s">
        <v>3809</v>
      </c>
      <c r="E909" s="68" t="s">
        <v>3810</v>
      </c>
      <c r="F909" s="67">
        <v>3</v>
      </c>
      <c r="G909" s="67" t="s">
        <v>1441</v>
      </c>
      <c r="H909" s="69">
        <v>45246</v>
      </c>
      <c r="I909" s="69" t="s">
        <v>1086</v>
      </c>
      <c r="J909" s="69" t="s">
        <v>1224</v>
      </c>
      <c r="K909" s="67">
        <f>IFERROR(VLOOKUP(J909,Jueces!$A$1:$B$11,2,FALSE),"")</f>
        <v>6</v>
      </c>
      <c r="L909" s="67" t="s">
        <v>812</v>
      </c>
      <c r="M909" s="67" t="s">
        <v>1999</v>
      </c>
      <c r="N909" s="67" t="s">
        <v>4160</v>
      </c>
      <c r="O909" s="83" t="str">
        <f t="shared" ca="1" si="51"/>
        <v>SI</v>
      </c>
      <c r="P909" s="83" t="str">
        <f t="shared" si="53"/>
        <v>DIASOL</v>
      </c>
      <c r="Q909" s="67" t="s">
        <v>899</v>
      </c>
      <c r="R909" s="67" t="str">
        <f>VLOOKUP($Q909,Resultados!$A$1:$B$49,2,FALSE)</f>
        <v>Libertad</v>
      </c>
      <c r="S909" s="67" t="s">
        <v>1377</v>
      </c>
      <c r="T909" s="86" t="str">
        <f t="shared" si="52"/>
        <v>NO</v>
      </c>
      <c r="U909" s="86"/>
      <c r="V909" s="83"/>
      <c r="W909" s="67" t="s">
        <v>2961</v>
      </c>
      <c r="X909" s="67" t="s">
        <v>4161</v>
      </c>
      <c r="Y909" s="67"/>
      <c r="Z909" s="123" t="s">
        <v>1042</v>
      </c>
      <c r="AA909" s="123" t="s">
        <v>2892</v>
      </c>
      <c r="AB909" s="123" t="s">
        <v>3361</v>
      </c>
      <c r="AC909" s="379"/>
    </row>
    <row r="910" spans="1:29" ht="39.950000000000003" customHeight="1">
      <c r="A910" s="67">
        <v>917</v>
      </c>
      <c r="B910" s="69">
        <v>45231</v>
      </c>
      <c r="C910" s="74">
        <v>0.33333333333333331</v>
      </c>
      <c r="D910" s="67" t="s">
        <v>3764</v>
      </c>
      <c r="E910" s="68" t="s">
        <v>3765</v>
      </c>
      <c r="F910" s="67">
        <v>2</v>
      </c>
      <c r="G910" s="67" t="s">
        <v>2785</v>
      </c>
      <c r="H910" s="69">
        <v>45246</v>
      </c>
      <c r="I910" s="69" t="s">
        <v>547</v>
      </c>
      <c r="J910" s="69" t="s">
        <v>1219</v>
      </c>
      <c r="K910" s="67">
        <f>IFERROR(VLOOKUP(J910,Jueces!$A$1:$B$11,2,FALSE),"")</f>
        <v>1</v>
      </c>
      <c r="L910" s="67" t="s">
        <v>809</v>
      </c>
      <c r="M910" s="433" t="s">
        <v>1415</v>
      </c>
      <c r="N910" s="67" t="s">
        <v>621</v>
      </c>
      <c r="O910" s="83" t="str">
        <f t="shared" ref="O910:O973" ca="1" si="54">IF(H910&lt;&gt;"",IF(H910&lt;=TODAY(),"SI","NO"),"LIMBO")</f>
        <v>SI</v>
      </c>
      <c r="P910" s="83" t="str">
        <f t="shared" si="53"/>
        <v>DIASOL</v>
      </c>
      <c r="Q910" s="67" t="s">
        <v>151</v>
      </c>
      <c r="R910" s="67" t="str">
        <f>VLOOKUP($Q910,Resultados!$A$1:$B$49,2,FALSE)</f>
        <v>Prisión Preventiva</v>
      </c>
      <c r="S910" s="67" t="s">
        <v>1736</v>
      </c>
      <c r="T910" s="86" t="str">
        <f t="shared" si="52"/>
        <v>NO</v>
      </c>
      <c r="U910" s="86"/>
      <c r="V910" s="83"/>
      <c r="W910" s="67" t="s">
        <v>4169</v>
      </c>
      <c r="X910" s="67" t="s">
        <v>3193</v>
      </c>
      <c r="Y910" s="67"/>
      <c r="Z910" s="123" t="s">
        <v>3410</v>
      </c>
      <c r="AA910" s="123" t="s">
        <v>2849</v>
      </c>
      <c r="AB910" s="123" t="s">
        <v>1176</v>
      </c>
      <c r="AC910" s="379"/>
    </row>
    <row r="911" spans="1:29" ht="39.950000000000003" customHeight="1">
      <c r="A911" s="67">
        <v>895</v>
      </c>
      <c r="B911" s="69">
        <v>45226</v>
      </c>
      <c r="C911" s="74">
        <v>0.33333333333333331</v>
      </c>
      <c r="D911" s="67" t="s">
        <v>3660</v>
      </c>
      <c r="E911" s="68" t="s">
        <v>3661</v>
      </c>
      <c r="F911" s="67">
        <v>2</v>
      </c>
      <c r="G911" s="67" t="s">
        <v>1440</v>
      </c>
      <c r="H911" s="69">
        <v>45246</v>
      </c>
      <c r="I911" s="69" t="s">
        <v>77</v>
      </c>
      <c r="J911" s="69" t="s">
        <v>31</v>
      </c>
      <c r="K911" s="67">
        <f>IFERROR(VLOOKUP(J911,Jueces!$A$1:$B$11,2,FALSE),"")</f>
        <v>2</v>
      </c>
      <c r="L911" s="67" t="s">
        <v>806</v>
      </c>
      <c r="M911" s="67" t="s">
        <v>693</v>
      </c>
      <c r="N911" s="67" t="s">
        <v>4170</v>
      </c>
      <c r="O911" s="83" t="str">
        <f t="shared" ca="1" si="54"/>
        <v>SI</v>
      </c>
      <c r="P911" s="83" t="str">
        <f t="shared" si="53"/>
        <v>DIASOL</v>
      </c>
      <c r="Q911" s="67" t="s">
        <v>151</v>
      </c>
      <c r="R911" s="67" t="str">
        <f>VLOOKUP($Q911,Resultados!$A$1:$B$49,2,FALSE)</f>
        <v>Prisión Preventiva</v>
      </c>
      <c r="S911" s="67" t="s">
        <v>3158</v>
      </c>
      <c r="T911" s="86" t="str">
        <f t="shared" si="52"/>
        <v>SI</v>
      </c>
      <c r="U911" s="86"/>
      <c r="V911" s="83"/>
      <c r="W911" s="67" t="s">
        <v>2208</v>
      </c>
      <c r="X911" s="67" t="s">
        <v>2568</v>
      </c>
      <c r="Y911" s="67"/>
      <c r="Z911" s="123" t="s">
        <v>748</v>
      </c>
      <c r="AA911" s="123" t="s">
        <v>1170</v>
      </c>
      <c r="AB911" s="123" t="s">
        <v>1173</v>
      </c>
      <c r="AC911" s="379"/>
    </row>
    <row r="912" spans="1:29" ht="39.950000000000003" customHeight="1">
      <c r="A912" s="83">
        <v>909</v>
      </c>
      <c r="B912" s="85">
        <v>45230</v>
      </c>
      <c r="C912" s="327">
        <v>0.44861111111111113</v>
      </c>
      <c r="D912" s="83" t="s">
        <v>3732</v>
      </c>
      <c r="E912" s="84" t="s">
        <v>3733</v>
      </c>
      <c r="F912" s="83">
        <v>3</v>
      </c>
      <c r="G912" s="83" t="s">
        <v>3362</v>
      </c>
      <c r="H912" s="85">
        <v>45251</v>
      </c>
      <c r="I912" s="85" t="s">
        <v>73</v>
      </c>
      <c r="J912" s="85" t="s">
        <v>78</v>
      </c>
      <c r="K912" s="83">
        <f>IFERROR(VLOOKUP(J912,Jueces!$A$1:$B$11,2,FALSE),"")</f>
        <v>8</v>
      </c>
      <c r="L912" s="83" t="s">
        <v>810</v>
      </c>
      <c r="M912" s="81" t="s">
        <v>694</v>
      </c>
      <c r="N912" s="83"/>
      <c r="O912" s="83" t="str">
        <f t="shared" ca="1" si="54"/>
        <v>NO</v>
      </c>
      <c r="P912" s="83" t="str">
        <f t="shared" si="53"/>
        <v>DIANOSOL</v>
      </c>
      <c r="Q912" s="83" t="s">
        <v>951</v>
      </c>
      <c r="R912" s="83" t="str">
        <f>VLOOKUP($Q912,Resultados!$A$1:$B$49,2,FALSE)</f>
        <v xml:space="preserve"> _</v>
      </c>
      <c r="S912" s="83"/>
      <c r="T912" s="86" t="str">
        <f t="shared" si="52"/>
        <v>NO</v>
      </c>
      <c r="U912" s="86"/>
      <c r="V912" s="83"/>
      <c r="W912" s="83"/>
      <c r="X912" s="83"/>
      <c r="Y912" s="83"/>
      <c r="Z912" s="83"/>
      <c r="AA912" s="389" t="s">
        <v>1170</v>
      </c>
      <c r="AB912" s="83" t="s">
        <v>1172</v>
      </c>
      <c r="AC912" s="80"/>
    </row>
    <row r="913" spans="1:29" ht="39.950000000000003" customHeight="1">
      <c r="A913" s="83">
        <v>925</v>
      </c>
      <c r="B913" s="85">
        <v>45230</v>
      </c>
      <c r="C913" s="327">
        <v>0.53125</v>
      </c>
      <c r="D913" s="83" t="s">
        <v>3997</v>
      </c>
      <c r="E913" s="84" t="s">
        <v>3775</v>
      </c>
      <c r="F913" s="83">
        <v>2</v>
      </c>
      <c r="G913" s="83" t="s">
        <v>2785</v>
      </c>
      <c r="H913" s="85">
        <v>45251</v>
      </c>
      <c r="I913" s="85" t="s">
        <v>73</v>
      </c>
      <c r="J913" s="85" t="s">
        <v>31</v>
      </c>
      <c r="K913" s="83">
        <f>IFERROR(VLOOKUP(J913,Jueces!$A$1:$B$11,2,FALSE),"")</f>
        <v>2</v>
      </c>
      <c r="L913" s="83" t="s">
        <v>192</v>
      </c>
      <c r="M913" s="369" t="s">
        <v>3438</v>
      </c>
      <c r="N913" s="83"/>
      <c r="O913" s="83" t="str">
        <f t="shared" ca="1" si="54"/>
        <v>NO</v>
      </c>
      <c r="P913" s="83" t="str">
        <f t="shared" si="53"/>
        <v>DIANOSOL</v>
      </c>
      <c r="Q913" s="83" t="s">
        <v>951</v>
      </c>
      <c r="R913" s="83" t="str">
        <f>VLOOKUP($Q913,Resultados!$A$1:$B$49,2,FALSE)</f>
        <v xml:space="preserve"> _</v>
      </c>
      <c r="S913" s="83"/>
      <c r="T913" s="86" t="str">
        <f t="shared" si="52"/>
        <v>NO</v>
      </c>
      <c r="U913" s="86"/>
      <c r="V913" s="83"/>
      <c r="W913" s="83"/>
      <c r="X913" s="83"/>
      <c r="Y913" s="83"/>
      <c r="Z913" s="83"/>
      <c r="AA913" s="389" t="s">
        <v>3422</v>
      </c>
      <c r="AB913" s="83" t="s">
        <v>3297</v>
      </c>
      <c r="AC913" s="80"/>
    </row>
    <row r="914" spans="1:29" ht="39.950000000000003" customHeight="1">
      <c r="A914" s="83">
        <v>931</v>
      </c>
      <c r="B914" s="85">
        <v>45232</v>
      </c>
      <c r="C914" s="327">
        <v>0.40277777777777773</v>
      </c>
      <c r="D914" s="83" t="s">
        <v>3803</v>
      </c>
      <c r="E914" s="84" t="s">
        <v>3804</v>
      </c>
      <c r="F914" s="83">
        <v>3</v>
      </c>
      <c r="G914" s="83" t="s">
        <v>283</v>
      </c>
      <c r="H914" s="85">
        <v>45251</v>
      </c>
      <c r="I914" s="85" t="s">
        <v>73</v>
      </c>
      <c r="J914" s="85" t="s">
        <v>2948</v>
      </c>
      <c r="K914" s="83">
        <v>1</v>
      </c>
      <c r="L914" s="83" t="s">
        <v>799</v>
      </c>
      <c r="M914" s="83" t="s">
        <v>3813</v>
      </c>
      <c r="N914" s="83"/>
      <c r="O914" s="83" t="str">
        <f t="shared" ca="1" si="54"/>
        <v>NO</v>
      </c>
      <c r="P914" s="83" t="str">
        <f t="shared" si="53"/>
        <v>DIANOSOL</v>
      </c>
      <c r="Q914" s="83" t="s">
        <v>951</v>
      </c>
      <c r="R914" s="83" t="str">
        <f>VLOOKUP($Q914,Resultados!$A$1:$B$49,2,FALSE)</f>
        <v xml:space="preserve"> _</v>
      </c>
      <c r="S914" s="83"/>
      <c r="T914" s="86" t="str">
        <f t="shared" si="52"/>
        <v>NO</v>
      </c>
      <c r="U914" s="86"/>
      <c r="V914" s="83"/>
      <c r="W914" s="83"/>
      <c r="X914" s="83"/>
      <c r="Y914" s="83"/>
      <c r="Z914" s="83"/>
      <c r="AA914" s="389" t="s">
        <v>2892</v>
      </c>
      <c r="AB914" s="83" t="s">
        <v>1174</v>
      </c>
      <c r="AC914" s="80"/>
    </row>
    <row r="915" spans="1:29" ht="39.950000000000003" customHeight="1">
      <c r="A915" s="83">
        <v>944</v>
      </c>
      <c r="B915" s="85">
        <v>45233</v>
      </c>
      <c r="C915" s="327">
        <v>0.52777777777777779</v>
      </c>
      <c r="D915" s="83" t="s">
        <v>3862</v>
      </c>
      <c r="E915" s="84" t="s">
        <v>3863</v>
      </c>
      <c r="F915" s="83">
        <v>3</v>
      </c>
      <c r="G915" s="83" t="s">
        <v>2835</v>
      </c>
      <c r="H915" s="85">
        <v>45251</v>
      </c>
      <c r="I915" s="85" t="s">
        <v>73</v>
      </c>
      <c r="J915" s="85" t="s">
        <v>1730</v>
      </c>
      <c r="K915" s="83" t="s">
        <v>3954</v>
      </c>
      <c r="L915" s="83" t="s">
        <v>809</v>
      </c>
      <c r="M915" s="83" t="s">
        <v>695</v>
      </c>
      <c r="N915" s="83" t="s">
        <v>4070</v>
      </c>
      <c r="O915" s="83" t="str">
        <f t="shared" ca="1" si="54"/>
        <v>NO</v>
      </c>
      <c r="P915" s="83" t="str">
        <f t="shared" si="53"/>
        <v>DIANOSOL</v>
      </c>
      <c r="Q915" s="83" t="s">
        <v>951</v>
      </c>
      <c r="R915" s="83" t="str">
        <f>VLOOKUP($Q915,Resultados!$A$1:$B$49,2,FALSE)</f>
        <v xml:space="preserve"> _</v>
      </c>
      <c r="S915" s="83"/>
      <c r="T915" s="86" t="str">
        <f t="shared" si="52"/>
        <v>NO</v>
      </c>
      <c r="U915" s="86"/>
      <c r="V915" s="83"/>
      <c r="W915" s="83"/>
      <c r="X915" s="83"/>
      <c r="Y915" s="83"/>
      <c r="Z915" s="83"/>
      <c r="AA915" s="389" t="s">
        <v>2849</v>
      </c>
      <c r="AB915" s="83" t="s">
        <v>3361</v>
      </c>
      <c r="AC915" s="80"/>
    </row>
    <row r="916" spans="1:29" ht="39.950000000000003" customHeight="1">
      <c r="A916" s="83">
        <v>960</v>
      </c>
      <c r="B916" s="85">
        <v>45236</v>
      </c>
      <c r="C916" s="327">
        <v>0.48402777777777778</v>
      </c>
      <c r="D916" s="83" t="s">
        <v>3910</v>
      </c>
      <c r="E916" s="84" t="s">
        <v>3911</v>
      </c>
      <c r="F916" s="83">
        <v>4</v>
      </c>
      <c r="G916" s="83" t="s">
        <v>3363</v>
      </c>
      <c r="H916" s="85">
        <v>45251</v>
      </c>
      <c r="I916" s="85" t="s">
        <v>73</v>
      </c>
      <c r="J916" s="85" t="s">
        <v>1220</v>
      </c>
      <c r="K916" s="83" t="s">
        <v>3838</v>
      </c>
      <c r="L916" s="83" t="s">
        <v>813</v>
      </c>
      <c r="M916" s="81" t="s">
        <v>1874</v>
      </c>
      <c r="N916" s="83"/>
      <c r="O916" s="83" t="str">
        <f t="shared" ca="1" si="54"/>
        <v>NO</v>
      </c>
      <c r="P916" s="83" t="str">
        <f t="shared" si="53"/>
        <v>DIANOSOL</v>
      </c>
      <c r="Q916" s="83" t="s">
        <v>951</v>
      </c>
      <c r="R916" s="83" t="str">
        <f>VLOOKUP($Q916,Resultados!$A$1:$B$49,2,FALSE)</f>
        <v xml:space="preserve"> _</v>
      </c>
      <c r="S916" s="83"/>
      <c r="T916" s="86" t="str">
        <f t="shared" si="52"/>
        <v>NO</v>
      </c>
      <c r="U916" s="86"/>
      <c r="V916" s="83"/>
      <c r="W916" s="83"/>
      <c r="X916" s="83"/>
      <c r="Y916" s="83"/>
      <c r="Z916" s="83"/>
      <c r="AA916" s="389" t="s">
        <v>2892</v>
      </c>
      <c r="AB916" s="83" t="s">
        <v>1176</v>
      </c>
      <c r="AC916" s="80"/>
    </row>
    <row r="917" spans="1:29" ht="39.950000000000003" customHeight="1">
      <c r="A917" s="83">
        <v>905</v>
      </c>
      <c r="B917" s="85">
        <v>45229</v>
      </c>
      <c r="C917" s="83" t="s">
        <v>1914</v>
      </c>
      <c r="D917" s="83" t="s">
        <v>3709</v>
      </c>
      <c r="E917" s="84" t="s">
        <v>3836</v>
      </c>
      <c r="F917" s="83">
        <v>3</v>
      </c>
      <c r="G917" s="83" t="s">
        <v>568</v>
      </c>
      <c r="H917" s="85">
        <v>45251</v>
      </c>
      <c r="I917" s="85" t="s">
        <v>1086</v>
      </c>
      <c r="J917" s="85" t="s">
        <v>78</v>
      </c>
      <c r="K917" s="83">
        <f>IFERROR(VLOOKUP(J917,Jueces!$A$1:$B$11,2,FALSE),"")</f>
        <v>8</v>
      </c>
      <c r="L917" s="83" t="s">
        <v>794</v>
      </c>
      <c r="M917" s="83" t="s">
        <v>694</v>
      </c>
      <c r="N917" s="83"/>
      <c r="O917" s="83" t="str">
        <f t="shared" ca="1" si="54"/>
        <v>NO</v>
      </c>
      <c r="P917" s="83" t="str">
        <f t="shared" si="53"/>
        <v>DIANOSOL</v>
      </c>
      <c r="Q917" s="83" t="s">
        <v>951</v>
      </c>
      <c r="R917" s="83" t="str">
        <f>VLOOKUP($Q917,Resultados!$A$1:$B$49,2,FALSE)</f>
        <v xml:space="preserve"> _</v>
      </c>
      <c r="S917" s="83"/>
      <c r="T917" s="86" t="str">
        <f t="shared" ref="T917:T980" si="55">IF(G917=$J$1,"SI","NO")</f>
        <v>NO</v>
      </c>
      <c r="U917" s="86"/>
      <c r="V917" s="83"/>
      <c r="W917" s="83"/>
      <c r="X917" s="83"/>
      <c r="Y917" s="83"/>
      <c r="Z917" s="83"/>
      <c r="AA917" s="389" t="s">
        <v>3422</v>
      </c>
      <c r="AB917" s="83" t="s">
        <v>1173</v>
      </c>
      <c r="AC917" s="80"/>
    </row>
    <row r="918" spans="1:29" ht="39.950000000000003" customHeight="1">
      <c r="A918" s="83">
        <v>930</v>
      </c>
      <c r="B918" s="85">
        <v>45231</v>
      </c>
      <c r="C918" s="83" t="s">
        <v>3794</v>
      </c>
      <c r="D918" s="83" t="s">
        <v>3795</v>
      </c>
      <c r="E918" s="84" t="s">
        <v>3814</v>
      </c>
      <c r="F918" s="83">
        <v>3</v>
      </c>
      <c r="G918" s="83" t="s">
        <v>1441</v>
      </c>
      <c r="H918" s="85">
        <v>45251</v>
      </c>
      <c r="I918" s="85" t="s">
        <v>1086</v>
      </c>
      <c r="J918" s="85" t="s">
        <v>1224</v>
      </c>
      <c r="K918" s="83">
        <f>IFERROR(VLOOKUP(J918,Jueces!$A$1:$B$11,2,FALSE),"")</f>
        <v>6</v>
      </c>
      <c r="L918" s="83" t="s">
        <v>812</v>
      </c>
      <c r="M918" s="83" t="s">
        <v>695</v>
      </c>
      <c r="N918" s="83"/>
      <c r="O918" s="83" t="str">
        <f t="shared" ca="1" si="54"/>
        <v>NO</v>
      </c>
      <c r="P918" s="83" t="str">
        <f t="shared" si="53"/>
        <v>DIANOSOL</v>
      </c>
      <c r="Q918" s="83" t="s">
        <v>951</v>
      </c>
      <c r="R918" s="83" t="str">
        <f>VLOOKUP($Q918,Resultados!$A$1:$B$49,2,FALSE)</f>
        <v xml:space="preserve"> _</v>
      </c>
      <c r="S918" s="83"/>
      <c r="T918" s="86" t="str">
        <f t="shared" si="55"/>
        <v>NO</v>
      </c>
      <c r="U918" s="86"/>
      <c r="V918" s="83"/>
      <c r="W918" s="83"/>
      <c r="X918" s="83"/>
      <c r="Y918" s="83"/>
      <c r="Z918" s="83"/>
      <c r="AA918" s="389" t="s">
        <v>2849</v>
      </c>
      <c r="AB918" s="83" t="s">
        <v>1172</v>
      </c>
      <c r="AC918" s="80"/>
    </row>
    <row r="919" spans="1:29" ht="39.950000000000003" customHeight="1">
      <c r="A919" s="83">
        <v>932</v>
      </c>
      <c r="B919" s="85">
        <v>45232</v>
      </c>
      <c r="C919" s="327">
        <v>0.40625</v>
      </c>
      <c r="D919" s="83" t="s">
        <v>3805</v>
      </c>
      <c r="E919" s="84" t="s">
        <v>3806</v>
      </c>
      <c r="F919" s="83">
        <v>3</v>
      </c>
      <c r="G919" s="83" t="s">
        <v>1442</v>
      </c>
      <c r="H919" s="85">
        <v>45251</v>
      </c>
      <c r="I919" s="85" t="s">
        <v>1086</v>
      </c>
      <c r="J919" s="85" t="s">
        <v>33</v>
      </c>
      <c r="K919" s="83">
        <f>IFERROR(VLOOKUP(J919,Jueces!$A$1:$B$11,2,FALSE),"")</f>
        <v>4</v>
      </c>
      <c r="L919" s="83" t="s">
        <v>800</v>
      </c>
      <c r="M919" s="83" t="s">
        <v>3813</v>
      </c>
      <c r="N919" s="83" t="s">
        <v>3850</v>
      </c>
      <c r="O919" s="83" t="str">
        <f t="shared" ca="1" si="54"/>
        <v>NO</v>
      </c>
      <c r="P919" s="83" t="str">
        <f t="shared" si="53"/>
        <v>DIANOSOL</v>
      </c>
      <c r="Q919" s="83" t="s">
        <v>951</v>
      </c>
      <c r="R919" s="83" t="str">
        <f>VLOOKUP($Q919,Resultados!$A$1:$B$49,2,FALSE)</f>
        <v xml:space="preserve"> _</v>
      </c>
      <c r="S919" s="83"/>
      <c r="T919" s="86" t="str">
        <f t="shared" si="55"/>
        <v>NO</v>
      </c>
      <c r="U919" s="86"/>
      <c r="V919" s="83"/>
      <c r="W919" s="83"/>
      <c r="X919" s="83"/>
      <c r="Y919" s="83"/>
      <c r="Z919" s="83"/>
      <c r="AA919" s="389" t="s">
        <v>1170</v>
      </c>
      <c r="AB919" s="83" t="s">
        <v>3297</v>
      </c>
      <c r="AC919" s="80"/>
    </row>
    <row r="920" spans="1:29" ht="39.950000000000003" customHeight="1">
      <c r="A920" s="80">
        <v>988</v>
      </c>
      <c r="B920" s="82"/>
      <c r="C920" s="80"/>
      <c r="D920" s="362" t="s">
        <v>4018</v>
      </c>
      <c r="E920" s="84" t="s">
        <v>4016</v>
      </c>
      <c r="F920" s="80">
        <v>1</v>
      </c>
      <c r="G920" s="80" t="s">
        <v>2770</v>
      </c>
      <c r="H920" s="82">
        <v>45251</v>
      </c>
      <c r="I920" s="85" t="s">
        <v>1086</v>
      </c>
      <c r="J920" s="82" t="s">
        <v>1219</v>
      </c>
      <c r="K920" s="80">
        <f>IFERROR(VLOOKUP(J920,Jueces!$A$1:$B$11,2,FALSE),"")</f>
        <v>1</v>
      </c>
      <c r="L920" s="83" t="s">
        <v>3119</v>
      </c>
      <c r="M920" s="83" t="s">
        <v>1874</v>
      </c>
      <c r="N920" s="83" t="s">
        <v>4017</v>
      </c>
      <c r="O920" s="83" t="str">
        <f t="shared" ca="1" si="54"/>
        <v>NO</v>
      </c>
      <c r="P920" s="83" t="str">
        <f t="shared" si="53"/>
        <v>DIANOSOL</v>
      </c>
      <c r="Q920" s="83" t="s">
        <v>951</v>
      </c>
      <c r="R920" s="83" t="str">
        <f>VLOOKUP($Q920,Resultados!$A$1:$B$49,2,FALSE)</f>
        <v xml:space="preserve"> _</v>
      </c>
      <c r="S920" s="83"/>
      <c r="T920" s="86" t="str">
        <f t="shared" si="55"/>
        <v>NO</v>
      </c>
      <c r="U920" s="86"/>
      <c r="V920" s="80"/>
      <c r="W920" s="80"/>
      <c r="X920" s="80"/>
      <c r="Y920" s="80"/>
      <c r="Z920" s="80"/>
      <c r="AA920" s="80"/>
      <c r="AB920" s="83" t="s">
        <v>1174</v>
      </c>
      <c r="AC920" s="80" t="s">
        <v>1799</v>
      </c>
    </row>
    <row r="921" spans="1:29" ht="39.950000000000003" customHeight="1">
      <c r="A921" s="83">
        <v>911</v>
      </c>
      <c r="B921" s="85">
        <v>45230</v>
      </c>
      <c r="C921" s="327">
        <v>0.53541666666666665</v>
      </c>
      <c r="D921" s="83" t="s">
        <v>3744</v>
      </c>
      <c r="E921" s="84" t="s">
        <v>3745</v>
      </c>
      <c r="F921" s="83">
        <v>3</v>
      </c>
      <c r="G921" s="83" t="s">
        <v>1442</v>
      </c>
      <c r="H921" s="85">
        <v>45252</v>
      </c>
      <c r="I921" s="85" t="s">
        <v>73</v>
      </c>
      <c r="J921" s="85" t="s">
        <v>2948</v>
      </c>
      <c r="K921" s="83" t="s">
        <v>3835</v>
      </c>
      <c r="L921" s="83" t="s">
        <v>2092</v>
      </c>
      <c r="M921" s="369" t="s">
        <v>3781</v>
      </c>
      <c r="N921" s="50" t="s">
        <v>3983</v>
      </c>
      <c r="O921" s="83" t="str">
        <f t="shared" ca="1" si="54"/>
        <v>NO</v>
      </c>
      <c r="P921" s="83" t="str">
        <f t="shared" si="53"/>
        <v>DIANOSOL</v>
      </c>
      <c r="Q921" s="83" t="s">
        <v>951</v>
      </c>
      <c r="R921" s="83" t="str">
        <f>VLOOKUP($Q921,Resultados!$A$1:$B$49,2,FALSE)</f>
        <v xml:space="preserve"> _</v>
      </c>
      <c r="S921" s="83"/>
      <c r="T921" s="86" t="str">
        <f t="shared" si="55"/>
        <v>NO</v>
      </c>
      <c r="U921" s="86"/>
      <c r="V921" s="83"/>
      <c r="W921" s="83"/>
      <c r="X921" s="83"/>
      <c r="Y921" s="83"/>
      <c r="Z921" s="83"/>
      <c r="AA921" s="325" t="s">
        <v>3422</v>
      </c>
      <c r="AB921" s="83"/>
      <c r="AC921" s="80"/>
    </row>
    <row r="922" spans="1:29" ht="39.950000000000003" customHeight="1">
      <c r="A922" s="80">
        <v>973</v>
      </c>
      <c r="B922" s="82">
        <v>45236</v>
      </c>
      <c r="C922" s="384">
        <v>0.51111111111111118</v>
      </c>
      <c r="D922" s="362" t="s">
        <v>1884</v>
      </c>
      <c r="E922" s="84" t="s">
        <v>3939</v>
      </c>
      <c r="F922" s="80">
        <v>7</v>
      </c>
      <c r="G922" s="80" t="s">
        <v>43</v>
      </c>
      <c r="H922" s="82">
        <v>45252</v>
      </c>
      <c r="I922" s="85" t="s">
        <v>73</v>
      </c>
      <c r="J922" s="82" t="s">
        <v>31</v>
      </c>
      <c r="K922" s="80">
        <f>IFERROR(VLOOKUP(J922,Jueces!$A$1:$B$11,2,FALSE),"")</f>
        <v>2</v>
      </c>
      <c r="L922" s="83" t="s">
        <v>813</v>
      </c>
      <c r="M922" s="369" t="s">
        <v>700</v>
      </c>
      <c r="N922" s="83" t="s">
        <v>3940</v>
      </c>
      <c r="O922" s="83" t="str">
        <f t="shared" ca="1" si="54"/>
        <v>NO</v>
      </c>
      <c r="P922" s="83" t="str">
        <f t="shared" si="53"/>
        <v>DIANOSOL</v>
      </c>
      <c r="Q922" s="83" t="s">
        <v>951</v>
      </c>
      <c r="R922" s="83" t="str">
        <f>VLOOKUP($Q922,Resultados!$A$1:$B$49,2,FALSE)</f>
        <v xml:space="preserve"> _</v>
      </c>
      <c r="S922" s="83"/>
      <c r="T922" s="86" t="str">
        <f t="shared" si="55"/>
        <v>NO</v>
      </c>
      <c r="U922" s="86"/>
      <c r="V922" s="80"/>
      <c r="W922" s="80"/>
      <c r="X922" s="80"/>
      <c r="Y922" s="80"/>
      <c r="Z922" s="80"/>
      <c r="AA922" s="325" t="s">
        <v>2892</v>
      </c>
      <c r="AB922" s="80"/>
      <c r="AC922" s="80" t="s">
        <v>1799</v>
      </c>
    </row>
    <row r="923" spans="1:29" ht="39.950000000000003" customHeight="1">
      <c r="A923" s="83">
        <v>949</v>
      </c>
      <c r="B923" s="85">
        <v>45233</v>
      </c>
      <c r="C923" s="327">
        <v>0.45416666666666666</v>
      </c>
      <c r="D923" s="362" t="s">
        <v>3870</v>
      </c>
      <c r="E923" s="84" t="s">
        <v>3871</v>
      </c>
      <c r="F923" s="83">
        <v>3</v>
      </c>
      <c r="G923" s="83" t="s">
        <v>2785</v>
      </c>
      <c r="H923" s="85">
        <v>45252</v>
      </c>
      <c r="I923" s="85" t="s">
        <v>73</v>
      </c>
      <c r="J923" s="85" t="s">
        <v>35</v>
      </c>
      <c r="K923" s="83">
        <f>IFERROR(VLOOKUP(J923,Jueces!$A$1:$B$11,2,FALSE),"")</f>
        <v>3</v>
      </c>
      <c r="L923" s="83" t="s">
        <v>807</v>
      </c>
      <c r="M923" s="83" t="s">
        <v>3813</v>
      </c>
      <c r="N923" s="83" t="s">
        <v>4110</v>
      </c>
      <c r="O923" s="83" t="str">
        <f t="shared" ca="1" si="54"/>
        <v>NO</v>
      </c>
      <c r="P923" s="83" t="str">
        <f t="shared" si="53"/>
        <v>DIANOSOL</v>
      </c>
      <c r="Q923" s="83" t="s">
        <v>951</v>
      </c>
      <c r="R923" s="83" t="str">
        <f>VLOOKUP($Q923,Resultados!$A$1:$B$49,2,FALSE)</f>
        <v xml:space="preserve"> _</v>
      </c>
      <c r="S923" s="83"/>
      <c r="T923" s="86" t="str">
        <f t="shared" si="55"/>
        <v>NO</v>
      </c>
      <c r="U923" s="86"/>
      <c r="V923" s="83"/>
      <c r="W923" s="83"/>
      <c r="X923" s="83"/>
      <c r="Y923" s="83"/>
      <c r="Z923" s="83"/>
      <c r="AA923" s="325" t="s">
        <v>3421</v>
      </c>
      <c r="AB923" s="83"/>
      <c r="AC923" s="80" t="s">
        <v>1799</v>
      </c>
    </row>
    <row r="924" spans="1:29" ht="39.950000000000003" customHeight="1">
      <c r="A924" s="83">
        <v>952</v>
      </c>
      <c r="B924" s="85">
        <v>45236</v>
      </c>
      <c r="C924" s="327">
        <v>0.35833333333333334</v>
      </c>
      <c r="D924" s="83" t="s">
        <v>3880</v>
      </c>
      <c r="E924" s="84" t="s">
        <v>3881</v>
      </c>
      <c r="F924" s="83">
        <v>3</v>
      </c>
      <c r="G924" s="83" t="s">
        <v>568</v>
      </c>
      <c r="H924" s="85">
        <v>45252</v>
      </c>
      <c r="I924" s="85" t="s">
        <v>73</v>
      </c>
      <c r="J924" s="85" t="s">
        <v>33</v>
      </c>
      <c r="K924" s="83">
        <f>IFERROR(VLOOKUP(J924,Jueces!$A$1:$B$11,2,FALSE),"")</f>
        <v>4</v>
      </c>
      <c r="L924" s="83" t="s">
        <v>789</v>
      </c>
      <c r="M924" s="83" t="s">
        <v>695</v>
      </c>
      <c r="N924" s="83"/>
      <c r="O924" s="83" t="str">
        <f t="shared" ca="1" si="54"/>
        <v>NO</v>
      </c>
      <c r="P924" s="83" t="str">
        <f t="shared" si="53"/>
        <v>DIANOSOL</v>
      </c>
      <c r="Q924" s="83" t="s">
        <v>951</v>
      </c>
      <c r="R924" s="83" t="str">
        <f>VLOOKUP($Q924,Resultados!$A$1:$B$49,2,FALSE)</f>
        <v xml:space="preserve"> _</v>
      </c>
      <c r="S924" s="83"/>
      <c r="T924" s="86" t="str">
        <f t="shared" si="55"/>
        <v>NO</v>
      </c>
      <c r="U924" s="86"/>
      <c r="V924" s="83"/>
      <c r="W924" s="83"/>
      <c r="X924" s="83"/>
      <c r="Y924" s="83"/>
      <c r="Z924" s="83"/>
      <c r="AA924" s="325" t="s">
        <v>1168</v>
      </c>
      <c r="AB924" s="83"/>
      <c r="AC924" s="80"/>
    </row>
    <row r="925" spans="1:29" ht="39.950000000000003" customHeight="1">
      <c r="A925" s="80">
        <v>987</v>
      </c>
      <c r="B925" s="82">
        <v>45239</v>
      </c>
      <c r="C925" s="384">
        <v>0.45277777777777778</v>
      </c>
      <c r="D925" s="83" t="s">
        <v>4004</v>
      </c>
      <c r="E925" s="84" t="s">
        <v>4005</v>
      </c>
      <c r="F925" s="80">
        <v>4</v>
      </c>
      <c r="G925" s="80" t="s">
        <v>1441</v>
      </c>
      <c r="H925" s="82">
        <v>45252</v>
      </c>
      <c r="I925" s="85" t="s">
        <v>73</v>
      </c>
      <c r="J925" s="82" t="s">
        <v>1730</v>
      </c>
      <c r="K925" s="83" t="s">
        <v>4098</v>
      </c>
      <c r="L925" s="83" t="s">
        <v>806</v>
      </c>
      <c r="M925" s="81" t="s">
        <v>1874</v>
      </c>
      <c r="N925" s="80"/>
      <c r="O925" s="83" t="str">
        <f t="shared" ca="1" si="54"/>
        <v>NO</v>
      </c>
      <c r="P925" s="83" t="str">
        <f t="shared" si="53"/>
        <v>DIANOSOL</v>
      </c>
      <c r="Q925" s="83" t="s">
        <v>951</v>
      </c>
      <c r="R925" s="83" t="str">
        <f>VLOOKUP($Q925,Resultados!$A$1:$B$49,2,FALSE)</f>
        <v xml:space="preserve"> _</v>
      </c>
      <c r="S925" s="83"/>
      <c r="T925" s="86" t="str">
        <f t="shared" si="55"/>
        <v>NO</v>
      </c>
      <c r="U925" s="86"/>
      <c r="V925" s="80"/>
      <c r="W925" s="80"/>
      <c r="X925" s="80"/>
      <c r="Y925" s="80"/>
      <c r="Z925" s="80"/>
      <c r="AA925" s="325" t="s">
        <v>1170</v>
      </c>
      <c r="AB925" s="80"/>
      <c r="AC925" s="80"/>
    </row>
    <row r="926" spans="1:29" ht="39.950000000000003" customHeight="1">
      <c r="A926" s="83">
        <v>943</v>
      </c>
      <c r="B926" s="85">
        <v>45233</v>
      </c>
      <c r="C926" s="327">
        <v>0.33333333333333331</v>
      </c>
      <c r="D926" s="83" t="s">
        <v>3847</v>
      </c>
      <c r="E926" s="84" t="s">
        <v>3848</v>
      </c>
      <c r="F926" s="83">
        <v>4</v>
      </c>
      <c r="G926" s="83" t="s">
        <v>3362</v>
      </c>
      <c r="H926" s="85">
        <v>45252</v>
      </c>
      <c r="I926" s="85" t="s">
        <v>1086</v>
      </c>
      <c r="J926" s="85" t="s">
        <v>1224</v>
      </c>
      <c r="K926" s="83">
        <f>IFERROR(VLOOKUP(J926,Jueces!$A$1:$B$11,2,FALSE),"")</f>
        <v>6</v>
      </c>
      <c r="L926" s="83" t="s">
        <v>803</v>
      </c>
      <c r="M926" s="83" t="s">
        <v>3813</v>
      </c>
      <c r="N926" s="83"/>
      <c r="O926" s="83" t="str">
        <f t="shared" ca="1" si="54"/>
        <v>NO</v>
      </c>
      <c r="P926" s="83" t="str">
        <f t="shared" si="53"/>
        <v>DIANOSOL</v>
      </c>
      <c r="Q926" s="83" t="s">
        <v>951</v>
      </c>
      <c r="R926" s="83" t="str">
        <f>VLOOKUP($Q926,Resultados!$A$1:$B$49,2,FALSE)</f>
        <v xml:space="preserve"> _</v>
      </c>
      <c r="S926" s="83"/>
      <c r="T926" s="86" t="str">
        <f t="shared" si="55"/>
        <v>NO</v>
      </c>
      <c r="U926" s="86"/>
      <c r="V926" s="83"/>
      <c r="W926" s="83"/>
      <c r="X926" s="83"/>
      <c r="Y926" s="83"/>
      <c r="Z926" s="83"/>
      <c r="AA926" s="325" t="s">
        <v>1170</v>
      </c>
      <c r="AB926" s="83"/>
      <c r="AC926" s="80"/>
    </row>
    <row r="927" spans="1:29" ht="39.950000000000003" customHeight="1">
      <c r="A927" s="80">
        <v>979</v>
      </c>
      <c r="B927" s="82">
        <v>45219</v>
      </c>
      <c r="C927" s="384">
        <v>0.33333333333333331</v>
      </c>
      <c r="D927" s="362" t="s">
        <v>3965</v>
      </c>
      <c r="E927" s="84" t="s">
        <v>3966</v>
      </c>
      <c r="F927" s="80">
        <v>1</v>
      </c>
      <c r="G927" s="80" t="s">
        <v>2770</v>
      </c>
      <c r="H927" s="82">
        <v>45252</v>
      </c>
      <c r="I927" s="85" t="s">
        <v>1086</v>
      </c>
      <c r="J927" s="82" t="s">
        <v>35</v>
      </c>
      <c r="K927" s="80">
        <f>IFERROR(VLOOKUP(J927,Jueces!$A$1:$B$11,2,FALSE),"")</f>
        <v>3</v>
      </c>
      <c r="L927" s="83" t="s">
        <v>813</v>
      </c>
      <c r="M927" s="83" t="s">
        <v>1385</v>
      </c>
      <c r="N927" s="80"/>
      <c r="O927" s="83" t="str">
        <f t="shared" ca="1" si="54"/>
        <v>NO</v>
      </c>
      <c r="P927" s="83" t="str">
        <f t="shared" si="53"/>
        <v>DIANOSOL</v>
      </c>
      <c r="Q927" s="83" t="s">
        <v>951</v>
      </c>
      <c r="R927" s="83" t="str">
        <f>VLOOKUP($Q927,Resultados!$A$1:$B$49,2,FALSE)</f>
        <v xml:space="preserve"> _</v>
      </c>
      <c r="S927" s="83"/>
      <c r="T927" s="86" t="str">
        <f t="shared" si="55"/>
        <v>NO</v>
      </c>
      <c r="U927" s="86"/>
      <c r="V927" s="80"/>
      <c r="W927" s="80"/>
      <c r="X927" s="80"/>
      <c r="Y927" s="80"/>
      <c r="Z927" s="80"/>
      <c r="AA927" s="325" t="s">
        <v>2892</v>
      </c>
      <c r="AB927" s="80"/>
      <c r="AC927" s="80" t="s">
        <v>1799</v>
      </c>
    </row>
    <row r="928" spans="1:29" ht="39.950000000000003" customHeight="1">
      <c r="A928" s="80">
        <v>1021</v>
      </c>
      <c r="B928" s="82">
        <v>45210</v>
      </c>
      <c r="C928" s="411">
        <v>0.3840277777777778</v>
      </c>
      <c r="D928" s="80" t="s">
        <v>3384</v>
      </c>
      <c r="E928" s="412" t="s">
        <v>3385</v>
      </c>
      <c r="F928" s="80">
        <v>1</v>
      </c>
      <c r="G928" s="80" t="s">
        <v>3850</v>
      </c>
      <c r="H928" s="82">
        <v>45252</v>
      </c>
      <c r="I928" s="85" t="s">
        <v>1086</v>
      </c>
      <c r="J928" s="82" t="s">
        <v>1219</v>
      </c>
      <c r="K928" s="83" t="s">
        <v>3838</v>
      </c>
      <c r="L928" s="83" t="s">
        <v>829</v>
      </c>
      <c r="M928" s="83" t="s">
        <v>712</v>
      </c>
      <c r="N928" s="80" t="s">
        <v>3892</v>
      </c>
      <c r="O928" s="83" t="str">
        <f t="shared" ca="1" si="54"/>
        <v>NO</v>
      </c>
      <c r="P928" s="83" t="str">
        <f t="shared" si="53"/>
        <v>DIANOSOL</v>
      </c>
      <c r="Q928" s="83" t="s">
        <v>951</v>
      </c>
      <c r="R928" s="83" t="str">
        <f>VLOOKUP($Q928,Resultados!$A$1:$B$49,2,FALSE)</f>
        <v xml:space="preserve"> _</v>
      </c>
      <c r="S928" s="83"/>
      <c r="T928" s="86" t="str">
        <f t="shared" si="55"/>
        <v>NO</v>
      </c>
      <c r="U928" s="86"/>
      <c r="V928" s="80"/>
      <c r="W928" s="80"/>
      <c r="X928" s="80"/>
      <c r="Y928" s="80"/>
      <c r="Z928" s="80"/>
      <c r="AA928" s="325" t="s">
        <v>3421</v>
      </c>
      <c r="AB928" s="80"/>
      <c r="AC928" s="80"/>
    </row>
    <row r="929" spans="1:29" ht="39.950000000000003" customHeight="1">
      <c r="A929" s="83">
        <v>954</v>
      </c>
      <c r="B929" s="85">
        <v>45236</v>
      </c>
      <c r="C929" s="327">
        <v>0.40138888888888885</v>
      </c>
      <c r="D929" s="362" t="s">
        <v>3884</v>
      </c>
      <c r="E929" s="84" t="s">
        <v>3984</v>
      </c>
      <c r="F929" s="83">
        <v>4</v>
      </c>
      <c r="G929" s="83" t="s">
        <v>3363</v>
      </c>
      <c r="H929" s="85">
        <v>45252</v>
      </c>
      <c r="I929" s="85" t="s">
        <v>1209</v>
      </c>
      <c r="J929" s="85" t="s">
        <v>31</v>
      </c>
      <c r="K929" s="83">
        <f>IFERROR(VLOOKUP(J929,Jueces!$A$1:$B$11,2,FALSE),"")</f>
        <v>2</v>
      </c>
      <c r="L929" s="83" t="s">
        <v>811</v>
      </c>
      <c r="M929" s="83" t="s">
        <v>3813</v>
      </c>
      <c r="N929" s="83" t="s">
        <v>4015</v>
      </c>
      <c r="O929" s="83" t="str">
        <f t="shared" ca="1" si="54"/>
        <v>NO</v>
      </c>
      <c r="P929" s="83" t="str">
        <f t="shared" si="53"/>
        <v>DIANOSOL</v>
      </c>
      <c r="Q929" s="83" t="s">
        <v>951</v>
      </c>
      <c r="R929" s="83" t="str">
        <f>VLOOKUP($Q929,Resultados!$A$1:$B$49,2,FALSE)</f>
        <v xml:space="preserve"> _</v>
      </c>
      <c r="S929" s="83"/>
      <c r="T929" s="86" t="str">
        <f t="shared" si="55"/>
        <v>NO</v>
      </c>
      <c r="U929" s="86"/>
      <c r="V929" s="83"/>
      <c r="W929" s="83"/>
      <c r="X929" s="83"/>
      <c r="Y929" s="83"/>
      <c r="Z929" s="83"/>
      <c r="AA929" s="325" t="s">
        <v>3421</v>
      </c>
      <c r="AB929" s="83"/>
      <c r="AC929" s="80" t="s">
        <v>1799</v>
      </c>
    </row>
    <row r="930" spans="1:29" ht="39.950000000000003" customHeight="1">
      <c r="A930" s="214">
        <v>965</v>
      </c>
      <c r="B930" s="322">
        <v>45237</v>
      </c>
      <c r="C930" s="395">
        <v>0.3840277777777778</v>
      </c>
      <c r="D930" s="214" t="s">
        <v>3918</v>
      </c>
      <c r="E930" s="215" t="s">
        <v>3919</v>
      </c>
      <c r="F930" s="214">
        <v>3</v>
      </c>
      <c r="G930" s="214" t="s">
        <v>1440</v>
      </c>
      <c r="H930" s="322">
        <v>45252</v>
      </c>
      <c r="I930" s="322" t="s">
        <v>1209</v>
      </c>
      <c r="J930" s="322" t="s">
        <v>1219</v>
      </c>
      <c r="K930" s="214" t="s">
        <v>3954</v>
      </c>
      <c r="L930" s="214" t="s">
        <v>2088</v>
      </c>
      <c r="M930" s="402" t="s">
        <v>3934</v>
      </c>
      <c r="N930" s="214" t="s">
        <v>4115</v>
      </c>
      <c r="O930" s="214" t="str">
        <f t="shared" ca="1" si="54"/>
        <v>NO</v>
      </c>
      <c r="P930" s="214" t="str">
        <f t="shared" si="53"/>
        <v>DIANOSOL</v>
      </c>
      <c r="Q930" s="214" t="s">
        <v>951</v>
      </c>
      <c r="R930" s="214" t="str">
        <f>VLOOKUP($Q930,Resultados!$A$1:$B$49,2,FALSE)</f>
        <v xml:space="preserve"> _</v>
      </c>
      <c r="S930" s="214"/>
      <c r="T930" s="281" t="str">
        <f t="shared" si="55"/>
        <v>SI</v>
      </c>
      <c r="U930" s="281"/>
      <c r="V930" s="214"/>
      <c r="W930" s="214"/>
      <c r="X930" s="214"/>
      <c r="Y930" s="214"/>
      <c r="Z930" s="214"/>
      <c r="AA930" s="339" t="s">
        <v>3422</v>
      </c>
      <c r="AB930" s="214"/>
      <c r="AC930" s="366"/>
    </row>
    <row r="931" spans="1:29" ht="39.950000000000003" customHeight="1">
      <c r="A931" s="83">
        <v>948</v>
      </c>
      <c r="B931" s="85">
        <v>45233</v>
      </c>
      <c r="C931" s="327">
        <v>0.48402777777777778</v>
      </c>
      <c r="D931" s="362" t="s">
        <v>3869</v>
      </c>
      <c r="E931" s="84" t="s">
        <v>3904</v>
      </c>
      <c r="F931" s="83">
        <v>3</v>
      </c>
      <c r="G931" s="83" t="s">
        <v>2835</v>
      </c>
      <c r="H931" s="85">
        <v>45252</v>
      </c>
      <c r="I931" s="85" t="s">
        <v>547</v>
      </c>
      <c r="J931" s="85" t="s">
        <v>1220</v>
      </c>
      <c r="K931" s="83">
        <v>8</v>
      </c>
      <c r="L931" s="83" t="s">
        <v>812</v>
      </c>
      <c r="M931" s="83" t="s">
        <v>3813</v>
      </c>
      <c r="N931" s="83"/>
      <c r="O931" s="83" t="str">
        <f t="shared" ca="1" si="54"/>
        <v>NO</v>
      </c>
      <c r="P931" s="83" t="str">
        <f t="shared" si="53"/>
        <v>DIANOSOL</v>
      </c>
      <c r="Q931" s="83" t="s">
        <v>951</v>
      </c>
      <c r="R931" s="83" t="str">
        <f>VLOOKUP($Q931,Resultados!$A$1:$B$49,2,FALSE)</f>
        <v xml:space="preserve"> _</v>
      </c>
      <c r="S931" s="83"/>
      <c r="T931" s="86" t="str">
        <f t="shared" si="55"/>
        <v>NO</v>
      </c>
      <c r="U931" s="86"/>
      <c r="V931" s="83"/>
      <c r="W931" s="83"/>
      <c r="X931" s="83"/>
      <c r="Y931" s="83"/>
      <c r="Z931" s="83"/>
      <c r="AA931" s="325" t="s">
        <v>1170</v>
      </c>
      <c r="AB931" s="83"/>
      <c r="AC931" s="80" t="s">
        <v>1799</v>
      </c>
    </row>
    <row r="932" spans="1:29" ht="39.950000000000003" customHeight="1">
      <c r="A932" s="83">
        <v>916</v>
      </c>
      <c r="B932" s="85">
        <v>45231</v>
      </c>
      <c r="C932" s="327">
        <v>0.33333333333333331</v>
      </c>
      <c r="D932" s="83" t="s">
        <v>3762</v>
      </c>
      <c r="E932" s="84" t="s">
        <v>3763</v>
      </c>
      <c r="F932" s="83">
        <v>2</v>
      </c>
      <c r="G932" s="83" t="s">
        <v>1440</v>
      </c>
      <c r="H932" s="85">
        <v>45253</v>
      </c>
      <c r="I932" s="85" t="s">
        <v>73</v>
      </c>
      <c r="J932" s="85" t="s">
        <v>1730</v>
      </c>
      <c r="K932" s="83" t="s">
        <v>3838</v>
      </c>
      <c r="L932" s="83" t="s">
        <v>803</v>
      </c>
      <c r="M932" s="83" t="s">
        <v>694</v>
      </c>
      <c r="N932" s="83" t="s">
        <v>3820</v>
      </c>
      <c r="O932" s="83" t="str">
        <f t="shared" ca="1" si="54"/>
        <v>NO</v>
      </c>
      <c r="P932" s="83" t="str">
        <f t="shared" si="53"/>
        <v>DIANOSOL</v>
      </c>
      <c r="Q932" s="83" t="s">
        <v>951</v>
      </c>
      <c r="R932" s="83" t="str">
        <f>VLOOKUP($Q932,Resultados!$A$1:$B$49,2,FALSE)</f>
        <v xml:space="preserve"> _</v>
      </c>
      <c r="S932" s="83"/>
      <c r="T932" s="86" t="str">
        <f t="shared" si="55"/>
        <v>SI</v>
      </c>
      <c r="U932" s="86"/>
      <c r="V932" s="83"/>
      <c r="W932" s="83"/>
      <c r="X932" s="83"/>
      <c r="Y932" s="83"/>
      <c r="Z932" s="83"/>
      <c r="AA932" s="325" t="s">
        <v>3422</v>
      </c>
      <c r="AB932" s="83"/>
      <c r="AC932" s="80"/>
    </row>
    <row r="933" spans="1:29" ht="39.950000000000003" customHeight="1">
      <c r="A933" s="83">
        <v>936</v>
      </c>
      <c r="B933" s="85">
        <v>45231</v>
      </c>
      <c r="C933" s="327">
        <v>0.54027777777777775</v>
      </c>
      <c r="D933" s="83" t="s">
        <v>3811</v>
      </c>
      <c r="E933" s="84" t="s">
        <v>3812</v>
      </c>
      <c r="F933" s="83">
        <v>3</v>
      </c>
      <c r="G933" s="83" t="s">
        <v>3363</v>
      </c>
      <c r="H933" s="85">
        <v>45253</v>
      </c>
      <c r="I933" s="85" t="s">
        <v>73</v>
      </c>
      <c r="J933" s="85" t="s">
        <v>31</v>
      </c>
      <c r="K933" s="83">
        <f>IFERROR(VLOOKUP(J933,Jueces!$A$1:$B$11,2,FALSE),"")</f>
        <v>2</v>
      </c>
      <c r="L933" s="83" t="s">
        <v>791</v>
      </c>
      <c r="M933" s="83" t="s">
        <v>3813</v>
      </c>
      <c r="N933" s="83"/>
      <c r="O933" s="83" t="str">
        <f t="shared" ca="1" si="54"/>
        <v>NO</v>
      </c>
      <c r="P933" s="83" t="str">
        <f t="shared" si="53"/>
        <v>DIANOSOL</v>
      </c>
      <c r="Q933" s="83" t="s">
        <v>951</v>
      </c>
      <c r="R933" s="83" t="str">
        <f>VLOOKUP($Q933,Resultados!$A$1:$B$49,2,FALSE)</f>
        <v xml:space="preserve"> _</v>
      </c>
      <c r="S933" s="83"/>
      <c r="T933" s="86" t="str">
        <f t="shared" si="55"/>
        <v>NO</v>
      </c>
      <c r="U933" s="86"/>
      <c r="V933" s="83"/>
      <c r="W933" s="83"/>
      <c r="X933" s="83"/>
      <c r="Y933" s="83"/>
      <c r="Z933" s="83"/>
      <c r="AA933" s="325" t="s">
        <v>2892</v>
      </c>
      <c r="AB933" s="83"/>
      <c r="AC933" s="80"/>
    </row>
    <row r="934" spans="1:29" ht="39.950000000000003" customHeight="1">
      <c r="A934" s="83">
        <v>950</v>
      </c>
      <c r="B934" s="85">
        <v>45233</v>
      </c>
      <c r="C934" s="327">
        <v>0.46388888888888885</v>
      </c>
      <c r="D934" s="83" t="s">
        <v>3872</v>
      </c>
      <c r="E934" s="84" t="s">
        <v>3873</v>
      </c>
      <c r="F934" s="83">
        <v>3</v>
      </c>
      <c r="G934" s="83" t="s">
        <v>283</v>
      </c>
      <c r="H934" s="85">
        <v>45253</v>
      </c>
      <c r="I934" s="85" t="s">
        <v>73</v>
      </c>
      <c r="J934" s="85" t="s">
        <v>2948</v>
      </c>
      <c r="K934" s="83" t="s">
        <v>3835</v>
      </c>
      <c r="L934" s="83" t="s">
        <v>806</v>
      </c>
      <c r="M934" s="83" t="s">
        <v>695</v>
      </c>
      <c r="N934" s="83"/>
      <c r="O934" s="83" t="str">
        <f t="shared" ca="1" si="54"/>
        <v>NO</v>
      </c>
      <c r="P934" s="83" t="str">
        <f t="shared" si="53"/>
        <v>DIANOSOL</v>
      </c>
      <c r="Q934" s="83" t="s">
        <v>951</v>
      </c>
      <c r="R934" s="83" t="str">
        <f>VLOOKUP($Q934,Resultados!$A$1:$B$49,2,FALSE)</f>
        <v xml:space="preserve"> _</v>
      </c>
      <c r="S934" s="83"/>
      <c r="T934" s="86" t="str">
        <f t="shared" si="55"/>
        <v>NO</v>
      </c>
      <c r="U934" s="86"/>
      <c r="V934" s="83"/>
      <c r="W934" s="83"/>
      <c r="X934" s="83"/>
      <c r="Y934" s="83"/>
      <c r="Z934" s="83"/>
      <c r="AA934" s="325" t="s">
        <v>3421</v>
      </c>
      <c r="AB934" s="83"/>
      <c r="AC934" s="80"/>
    </row>
    <row r="935" spans="1:29" ht="39.950000000000003" customHeight="1">
      <c r="A935" s="83">
        <v>958</v>
      </c>
      <c r="B935" s="85">
        <v>45236</v>
      </c>
      <c r="C935" s="327">
        <v>0.51597222222222217</v>
      </c>
      <c r="D935" s="83" t="s">
        <v>3907</v>
      </c>
      <c r="E935" s="84" t="s">
        <v>3987</v>
      </c>
      <c r="F935" s="83">
        <v>4</v>
      </c>
      <c r="G935" s="83" t="s">
        <v>1442</v>
      </c>
      <c r="H935" s="85">
        <v>45253</v>
      </c>
      <c r="I935" s="85" t="s">
        <v>73</v>
      </c>
      <c r="J935" s="85" t="s">
        <v>35</v>
      </c>
      <c r="K935" s="83">
        <f>IFERROR(VLOOKUP(J935,Jueces!$A$1:$B$11,2,FALSE),"")</f>
        <v>3</v>
      </c>
      <c r="L935" s="83" t="s">
        <v>812</v>
      </c>
      <c r="M935" s="81" t="s">
        <v>1874</v>
      </c>
      <c r="N935" s="83"/>
      <c r="O935" s="83" t="str">
        <f t="shared" ca="1" si="54"/>
        <v>NO</v>
      </c>
      <c r="P935" s="83" t="str">
        <f t="shared" si="53"/>
        <v>DIANOSOL</v>
      </c>
      <c r="Q935" s="83" t="s">
        <v>951</v>
      </c>
      <c r="R935" s="83" t="str">
        <f>VLOOKUP($Q935,Resultados!$A$1:$B$49,2,FALSE)</f>
        <v xml:space="preserve"> _</v>
      </c>
      <c r="S935" s="83"/>
      <c r="T935" s="86" t="str">
        <f t="shared" si="55"/>
        <v>NO</v>
      </c>
      <c r="U935" s="86"/>
      <c r="V935" s="83"/>
      <c r="W935" s="83"/>
      <c r="X935" s="83"/>
      <c r="Y935" s="83"/>
      <c r="Z935" s="83"/>
      <c r="AA935" s="325" t="s">
        <v>1170</v>
      </c>
      <c r="AB935" s="83"/>
      <c r="AC935" s="80"/>
    </row>
    <row r="936" spans="1:29" ht="39.950000000000003" customHeight="1">
      <c r="A936" s="83">
        <v>951</v>
      </c>
      <c r="B936" s="85">
        <v>45233</v>
      </c>
      <c r="C936" s="327">
        <v>0.375</v>
      </c>
      <c r="D936" s="83" t="s">
        <v>3876</v>
      </c>
      <c r="E936" s="84" t="s">
        <v>3877</v>
      </c>
      <c r="F936" s="83">
        <v>3</v>
      </c>
      <c r="G936" s="83" t="s">
        <v>3362</v>
      </c>
      <c r="H936" s="85">
        <v>45253</v>
      </c>
      <c r="I936" s="85" t="s">
        <v>1086</v>
      </c>
      <c r="J936" s="85" t="s">
        <v>35</v>
      </c>
      <c r="K936" s="83">
        <f>IFERROR(VLOOKUP(J936,Jueces!$A$1:$B$11,2,FALSE),"")</f>
        <v>3</v>
      </c>
      <c r="L936" s="83" t="s">
        <v>806</v>
      </c>
      <c r="M936" s="83" t="s">
        <v>694</v>
      </c>
      <c r="N936" s="83" t="s">
        <v>3878</v>
      </c>
      <c r="O936" s="83" t="str">
        <f t="shared" ca="1" si="54"/>
        <v>NO</v>
      </c>
      <c r="P936" s="83" t="str">
        <f t="shared" si="53"/>
        <v>DIANOSOL</v>
      </c>
      <c r="Q936" s="83" t="s">
        <v>951</v>
      </c>
      <c r="R936" s="83" t="str">
        <f>VLOOKUP($Q936,Resultados!$A$1:$B$49,2,FALSE)</f>
        <v xml:space="preserve"> _</v>
      </c>
      <c r="S936" s="83"/>
      <c r="T936" s="86" t="str">
        <f t="shared" si="55"/>
        <v>NO</v>
      </c>
      <c r="U936" s="86"/>
      <c r="V936" s="83"/>
      <c r="W936" s="83"/>
      <c r="X936" s="83"/>
      <c r="Y936" s="83"/>
      <c r="Z936" s="83"/>
      <c r="AA936" s="325" t="s">
        <v>2892</v>
      </c>
      <c r="AB936" s="83"/>
      <c r="AC936" s="80"/>
    </row>
    <row r="937" spans="1:29" ht="39.950000000000003" customHeight="1">
      <c r="A937" s="83">
        <v>939</v>
      </c>
      <c r="B937" s="85"/>
      <c r="C937" s="327">
        <v>0.5229166666666667</v>
      </c>
      <c r="D937" s="83" t="s">
        <v>3842</v>
      </c>
      <c r="E937" s="84" t="s">
        <v>3866</v>
      </c>
      <c r="F937" s="83">
        <v>4</v>
      </c>
      <c r="G937" s="83" t="s">
        <v>1441</v>
      </c>
      <c r="H937" s="85">
        <v>45253</v>
      </c>
      <c r="I937" s="85" t="s">
        <v>1209</v>
      </c>
      <c r="J937" s="85" t="s">
        <v>31</v>
      </c>
      <c r="K937" s="83">
        <f>IFERROR(VLOOKUP(J937,Jueces!$A$1:$B$11,2,FALSE),"")</f>
        <v>2</v>
      </c>
      <c r="L937" s="83" t="s">
        <v>813</v>
      </c>
      <c r="M937" s="83" t="s">
        <v>3813</v>
      </c>
      <c r="N937" s="83"/>
      <c r="O937" s="83" t="str">
        <f t="shared" ca="1" si="54"/>
        <v>NO</v>
      </c>
      <c r="P937" s="83" t="str">
        <f t="shared" si="53"/>
        <v>DIANOSOL</v>
      </c>
      <c r="Q937" s="83" t="s">
        <v>951</v>
      </c>
      <c r="R937" s="83" t="str">
        <f>VLOOKUP($Q937,Resultados!$A$1:$B$49,2,FALSE)</f>
        <v xml:space="preserve"> _</v>
      </c>
      <c r="S937" s="83"/>
      <c r="T937" s="86" t="str">
        <f t="shared" si="55"/>
        <v>NO</v>
      </c>
      <c r="U937" s="86"/>
      <c r="V937" s="83"/>
      <c r="W937" s="83"/>
      <c r="X937" s="83"/>
      <c r="Y937" s="83"/>
      <c r="Z937" s="83"/>
      <c r="AA937" s="325" t="s">
        <v>3421</v>
      </c>
      <c r="AB937" s="83"/>
      <c r="AC937" s="80"/>
    </row>
    <row r="938" spans="1:29" ht="39.950000000000003" customHeight="1">
      <c r="A938" s="83">
        <v>964</v>
      </c>
      <c r="B938" s="85">
        <v>45237</v>
      </c>
      <c r="C938" s="327">
        <v>0.39444444444444443</v>
      </c>
      <c r="D938" s="83" t="s">
        <v>3917</v>
      </c>
      <c r="E938" s="84" t="s">
        <v>3948</v>
      </c>
      <c r="F938" s="83">
        <v>3</v>
      </c>
      <c r="G938" s="83" t="s">
        <v>2835</v>
      </c>
      <c r="H938" s="85">
        <v>45253</v>
      </c>
      <c r="I938" s="85" t="s">
        <v>1086</v>
      </c>
      <c r="J938" s="85" t="s">
        <v>78</v>
      </c>
      <c r="K938" s="83">
        <f>IFERROR(VLOOKUP(J938,Jueces!$A$1:$B$11,2,FALSE),"")</f>
        <v>8</v>
      </c>
      <c r="L938" s="83" t="s">
        <v>796</v>
      </c>
      <c r="M938" s="369" t="s">
        <v>695</v>
      </c>
      <c r="N938" s="83" t="s">
        <v>3949</v>
      </c>
      <c r="O938" s="83" t="str">
        <f t="shared" ca="1" si="54"/>
        <v>NO</v>
      </c>
      <c r="P938" s="83" t="str">
        <f t="shared" si="53"/>
        <v>DIANOSOL</v>
      </c>
      <c r="Q938" s="83" t="s">
        <v>951</v>
      </c>
      <c r="R938" s="83" t="str">
        <f>VLOOKUP($Q938,Resultados!$A$1:$B$49,2,FALSE)</f>
        <v xml:space="preserve"> _</v>
      </c>
      <c r="S938" s="83"/>
      <c r="T938" s="86" t="str">
        <f t="shared" si="55"/>
        <v>NO</v>
      </c>
      <c r="U938" s="86"/>
      <c r="V938" s="83"/>
      <c r="W938" s="83"/>
      <c r="X938" s="83"/>
      <c r="Y938" s="83"/>
      <c r="Z938" s="83"/>
      <c r="AA938" s="325" t="s">
        <v>1170</v>
      </c>
      <c r="AB938" s="83"/>
      <c r="AC938" s="80"/>
    </row>
    <row r="939" spans="1:29" ht="39.950000000000003" customHeight="1">
      <c r="A939" s="83">
        <v>940</v>
      </c>
      <c r="B939" s="85">
        <v>45232</v>
      </c>
      <c r="C939" s="327">
        <v>0.52638888888888891</v>
      </c>
      <c r="D939" s="83" t="s">
        <v>3843</v>
      </c>
      <c r="E939" s="84" t="s">
        <v>3875</v>
      </c>
      <c r="F939" s="83">
        <v>4</v>
      </c>
      <c r="G939" s="83" t="s">
        <v>2785</v>
      </c>
      <c r="H939" s="85">
        <v>45253</v>
      </c>
      <c r="I939" s="85" t="s">
        <v>1209</v>
      </c>
      <c r="J939" s="85" t="s">
        <v>1219</v>
      </c>
      <c r="K939" s="83" t="s">
        <v>3990</v>
      </c>
      <c r="L939" s="83" t="s">
        <v>806</v>
      </c>
      <c r="M939" s="83" t="s">
        <v>3813</v>
      </c>
      <c r="N939" s="83"/>
      <c r="O939" s="83" t="str">
        <f t="shared" ca="1" si="54"/>
        <v>NO</v>
      </c>
      <c r="P939" s="83" t="str">
        <f t="shared" si="53"/>
        <v>DIANOSOL</v>
      </c>
      <c r="Q939" s="83" t="s">
        <v>951</v>
      </c>
      <c r="R939" s="83" t="str">
        <f>VLOOKUP($Q939,Resultados!$A$1:$B$49,2,FALSE)</f>
        <v xml:space="preserve"> _</v>
      </c>
      <c r="S939" s="83"/>
      <c r="T939" s="86" t="str">
        <f t="shared" si="55"/>
        <v>NO</v>
      </c>
      <c r="U939" s="86"/>
      <c r="V939" s="83"/>
      <c r="W939" s="83"/>
      <c r="X939" s="83"/>
      <c r="Y939" s="83"/>
      <c r="Z939" s="83"/>
      <c r="AA939" s="325" t="s">
        <v>3422</v>
      </c>
      <c r="AB939" s="83"/>
      <c r="AC939" s="80"/>
    </row>
    <row r="940" spans="1:29" ht="39.950000000000003" customHeight="1">
      <c r="A940" s="83">
        <v>945</v>
      </c>
      <c r="B940" s="85">
        <v>45233</v>
      </c>
      <c r="C940" s="327">
        <v>0.52777777777777779</v>
      </c>
      <c r="D940" s="83" t="s">
        <v>3864</v>
      </c>
      <c r="E940" s="84" t="s">
        <v>3865</v>
      </c>
      <c r="F940" s="83">
        <v>3</v>
      </c>
      <c r="G940" s="83" t="s">
        <v>1442</v>
      </c>
      <c r="H940" s="85">
        <v>45254</v>
      </c>
      <c r="I940" s="85" t="s">
        <v>73</v>
      </c>
      <c r="J940" s="85" t="s">
        <v>33</v>
      </c>
      <c r="K940" s="83">
        <f>IFERROR(VLOOKUP(J940,Jueces!$A$1:$B$11,2,FALSE),"")</f>
        <v>4</v>
      </c>
      <c r="L940" s="83" t="s">
        <v>789</v>
      </c>
      <c r="M940" s="83" t="s">
        <v>694</v>
      </c>
      <c r="N940" s="83"/>
      <c r="O940" s="83" t="str">
        <f t="shared" ca="1" si="54"/>
        <v>NO</v>
      </c>
      <c r="P940" s="83" t="str">
        <f t="shared" si="53"/>
        <v>DIANOSOL</v>
      </c>
      <c r="Q940" s="83" t="s">
        <v>951</v>
      </c>
      <c r="R940" s="83" t="str">
        <f>VLOOKUP($Q940,Resultados!$A$1:$B$49,2,FALSE)</f>
        <v xml:space="preserve"> _</v>
      </c>
      <c r="S940" s="83"/>
      <c r="T940" s="86" t="str">
        <f t="shared" si="55"/>
        <v>NO</v>
      </c>
      <c r="U940" s="86"/>
      <c r="V940" s="83"/>
      <c r="W940" s="83"/>
      <c r="X940" s="83"/>
      <c r="Y940" s="83"/>
      <c r="Z940" s="83"/>
      <c r="AA940" s="325" t="s">
        <v>2849</v>
      </c>
      <c r="AB940" s="83"/>
      <c r="AC940" s="80"/>
    </row>
    <row r="941" spans="1:29" ht="39.950000000000003" customHeight="1">
      <c r="A941" s="83">
        <v>937</v>
      </c>
      <c r="B941" s="85">
        <v>45233</v>
      </c>
      <c r="C941" s="327">
        <v>0.38472222222222219</v>
      </c>
      <c r="D941" s="83" t="s">
        <v>3839</v>
      </c>
      <c r="E941" s="84" t="s">
        <v>3840</v>
      </c>
      <c r="F941" s="83">
        <v>5</v>
      </c>
      <c r="G941" s="83" t="s">
        <v>2785</v>
      </c>
      <c r="H941" s="85">
        <v>45254</v>
      </c>
      <c r="I941" s="85" t="s">
        <v>73</v>
      </c>
      <c r="J941" s="85" t="s">
        <v>1730</v>
      </c>
      <c r="K941" s="83" t="s">
        <v>3835</v>
      </c>
      <c r="L941" s="83" t="s">
        <v>1070</v>
      </c>
      <c r="M941" s="388" t="s">
        <v>3879</v>
      </c>
      <c r="N941" s="83" t="s">
        <v>3994</v>
      </c>
      <c r="O941" s="83" t="str">
        <f t="shared" ca="1" si="54"/>
        <v>NO</v>
      </c>
      <c r="P941" s="83" t="str">
        <f t="shared" si="53"/>
        <v>DIANOSOL</v>
      </c>
      <c r="Q941" s="83" t="s">
        <v>951</v>
      </c>
      <c r="R941" s="83" t="str">
        <f>VLOOKUP($Q941,Resultados!$A$1:$B$49,2,FALSE)</f>
        <v xml:space="preserve"> _</v>
      </c>
      <c r="S941" s="83"/>
      <c r="T941" s="86" t="str">
        <f t="shared" si="55"/>
        <v>NO</v>
      </c>
      <c r="U941" s="86"/>
      <c r="V941" s="83"/>
      <c r="W941" s="83"/>
      <c r="X941" s="83"/>
      <c r="Y941" s="83"/>
      <c r="Z941" s="83"/>
      <c r="AA941" s="325" t="s">
        <v>2892</v>
      </c>
      <c r="AB941" s="83"/>
      <c r="AC941" s="80"/>
    </row>
    <row r="942" spans="1:29" ht="39.950000000000003" customHeight="1">
      <c r="A942" s="83">
        <v>938</v>
      </c>
      <c r="B942" s="85">
        <v>45232</v>
      </c>
      <c r="C942" s="327">
        <v>0.50763888888888886</v>
      </c>
      <c r="D942" s="83" t="s">
        <v>3841</v>
      </c>
      <c r="E942" s="84" t="s">
        <v>3874</v>
      </c>
      <c r="F942" s="83">
        <v>4</v>
      </c>
      <c r="G942" s="83" t="s">
        <v>568</v>
      </c>
      <c r="H942" s="85">
        <v>45254</v>
      </c>
      <c r="I942" s="85" t="s">
        <v>73</v>
      </c>
      <c r="J942" s="85" t="s">
        <v>2951</v>
      </c>
      <c r="K942" s="83" t="s">
        <v>3990</v>
      </c>
      <c r="L942" s="83" t="s">
        <v>812</v>
      </c>
      <c r="M942" s="83" t="s">
        <v>3813</v>
      </c>
      <c r="N942" s="83"/>
      <c r="O942" s="83" t="str">
        <f t="shared" ca="1" si="54"/>
        <v>NO</v>
      </c>
      <c r="P942" s="83" t="str">
        <f t="shared" si="53"/>
        <v>DIANOSOL</v>
      </c>
      <c r="Q942" s="83" t="s">
        <v>951</v>
      </c>
      <c r="R942" s="83" t="str">
        <f>VLOOKUP($Q942,Resultados!$A$1:$B$49,2,FALSE)</f>
        <v xml:space="preserve"> _</v>
      </c>
      <c r="S942" s="83"/>
      <c r="T942" s="86" t="str">
        <f t="shared" si="55"/>
        <v>NO</v>
      </c>
      <c r="U942" s="86"/>
      <c r="V942" s="83"/>
      <c r="W942" s="83"/>
      <c r="X942" s="83"/>
      <c r="Y942" s="83"/>
      <c r="Z942" s="83"/>
      <c r="AA942" s="325" t="s">
        <v>1168</v>
      </c>
      <c r="AB942" s="83"/>
      <c r="AC942" s="80"/>
    </row>
    <row r="943" spans="1:29" ht="39.950000000000003" customHeight="1">
      <c r="A943" s="83">
        <v>953</v>
      </c>
      <c r="B943" s="85">
        <v>45236</v>
      </c>
      <c r="C943" s="327">
        <v>0.38472222222222219</v>
      </c>
      <c r="D943" s="83" t="s">
        <v>3882</v>
      </c>
      <c r="E943" s="84" t="s">
        <v>3883</v>
      </c>
      <c r="F943" s="83">
        <v>3</v>
      </c>
      <c r="G943" s="83" t="s">
        <v>3362</v>
      </c>
      <c r="H943" s="85">
        <v>45254</v>
      </c>
      <c r="I943" s="85" t="s">
        <v>73</v>
      </c>
      <c r="J943" s="85" t="s">
        <v>35</v>
      </c>
      <c r="K943" s="83">
        <f>IFERROR(VLOOKUP(J943,Jueces!$A$1:$B$11,2,FALSE),"")</f>
        <v>3</v>
      </c>
      <c r="L943" s="83" t="s">
        <v>806</v>
      </c>
      <c r="M943" s="83" t="s">
        <v>695</v>
      </c>
      <c r="N943" s="83"/>
      <c r="O943" s="83" t="str">
        <f t="shared" ca="1" si="54"/>
        <v>NO</v>
      </c>
      <c r="P943" s="83" t="str">
        <f t="shared" si="53"/>
        <v>DIANOSOL</v>
      </c>
      <c r="Q943" s="83" t="s">
        <v>951</v>
      </c>
      <c r="R943" s="83" t="str">
        <f>VLOOKUP($Q943,Resultados!$A$1:$B$49,2,FALSE)</f>
        <v xml:space="preserve"> _</v>
      </c>
      <c r="S943" s="83"/>
      <c r="T943" s="86" t="str">
        <f t="shared" si="55"/>
        <v>NO</v>
      </c>
      <c r="U943" s="86"/>
      <c r="V943" s="83"/>
      <c r="W943" s="83"/>
      <c r="X943" s="83"/>
      <c r="Y943" s="83"/>
      <c r="Z943" s="83"/>
      <c r="AA943" s="325" t="s">
        <v>1170</v>
      </c>
      <c r="AB943" s="83"/>
      <c r="AC943" s="80"/>
    </row>
    <row r="944" spans="1:29" ht="39.950000000000003" customHeight="1">
      <c r="A944" s="83">
        <v>941</v>
      </c>
      <c r="B944" s="85">
        <v>45232</v>
      </c>
      <c r="C944" s="327">
        <v>0.53541666666666665</v>
      </c>
      <c r="D944" s="83" t="s">
        <v>3844</v>
      </c>
      <c r="E944" s="84" t="s">
        <v>4092</v>
      </c>
      <c r="F944" s="83">
        <v>4</v>
      </c>
      <c r="G944" s="83" t="s">
        <v>1440</v>
      </c>
      <c r="H944" s="85">
        <v>45254</v>
      </c>
      <c r="I944" s="85" t="s">
        <v>1086</v>
      </c>
      <c r="J944" s="85" t="s">
        <v>31</v>
      </c>
      <c r="K944" s="83">
        <f>IFERROR(VLOOKUP(J944,Jueces!$A$1:$B$11,2,FALSE),"")</f>
        <v>2</v>
      </c>
      <c r="L944" s="83" t="s">
        <v>791</v>
      </c>
      <c r="M944" s="83" t="s">
        <v>3813</v>
      </c>
      <c r="N944" s="83"/>
      <c r="O944" s="83" t="str">
        <f t="shared" ca="1" si="54"/>
        <v>NO</v>
      </c>
      <c r="P944" s="83" t="str">
        <f t="shared" si="53"/>
        <v>DIANOSOL</v>
      </c>
      <c r="Q944" s="83" t="s">
        <v>951</v>
      </c>
      <c r="R944" s="83" t="str">
        <f>VLOOKUP($Q944,Resultados!$A$1:$B$49,2,FALSE)</f>
        <v xml:space="preserve"> _</v>
      </c>
      <c r="S944" s="83"/>
      <c r="T944" s="86" t="str">
        <f t="shared" si="55"/>
        <v>SI</v>
      </c>
      <c r="U944" s="86"/>
      <c r="V944" s="83"/>
      <c r="W944" s="83"/>
      <c r="X944" s="83"/>
      <c r="Y944" s="83"/>
      <c r="Z944" s="83"/>
      <c r="AA944" s="325" t="s">
        <v>1168</v>
      </c>
      <c r="AB944" s="83"/>
      <c r="AC944" s="80"/>
    </row>
    <row r="945" spans="1:29" ht="39.950000000000003" customHeight="1">
      <c r="A945" s="83">
        <v>874</v>
      </c>
      <c r="B945" s="85">
        <v>45224</v>
      </c>
      <c r="C945" s="327">
        <v>0.43124999999999997</v>
      </c>
      <c r="D945" s="83" t="s">
        <v>3604</v>
      </c>
      <c r="E945" s="84" t="s">
        <v>3638</v>
      </c>
      <c r="F945" s="83">
        <v>2</v>
      </c>
      <c r="G945" s="83" t="s">
        <v>283</v>
      </c>
      <c r="H945" s="85">
        <v>45254</v>
      </c>
      <c r="I945" s="85" t="s">
        <v>1086</v>
      </c>
      <c r="J945" s="85" t="s">
        <v>1219</v>
      </c>
      <c r="K945" s="83" t="s">
        <v>2301</v>
      </c>
      <c r="L945" s="83" t="s">
        <v>2088</v>
      </c>
      <c r="M945" s="387" t="s">
        <v>3425</v>
      </c>
      <c r="N945" s="83" t="s">
        <v>4012</v>
      </c>
      <c r="O945" s="83" t="str">
        <f t="shared" ca="1" si="54"/>
        <v>NO</v>
      </c>
      <c r="P945" s="83" t="str">
        <f t="shared" si="53"/>
        <v>DIANOSOL</v>
      </c>
      <c r="Q945" s="83" t="s">
        <v>951</v>
      </c>
      <c r="R945" s="83" t="str">
        <f>VLOOKUP($Q945,Resultados!$A$1:$B$49,2,FALSE)</f>
        <v xml:space="preserve"> _</v>
      </c>
      <c r="S945" s="83"/>
      <c r="T945" s="86" t="str">
        <f t="shared" si="55"/>
        <v>NO</v>
      </c>
      <c r="U945" s="86"/>
      <c r="V945" s="83"/>
      <c r="W945" s="83"/>
      <c r="X945" s="83"/>
      <c r="Y945" s="83"/>
      <c r="Z945" s="83"/>
      <c r="AA945" s="325" t="s">
        <v>2892</v>
      </c>
      <c r="AB945" s="83" t="s">
        <v>3297</v>
      </c>
      <c r="AC945" s="80"/>
    </row>
    <row r="946" spans="1:29" ht="39.950000000000003" customHeight="1">
      <c r="A946" s="83">
        <v>957</v>
      </c>
      <c r="B946" s="85">
        <v>45236</v>
      </c>
      <c r="C946" s="327">
        <v>0.51111111111111118</v>
      </c>
      <c r="D946" s="83" t="s">
        <v>3905</v>
      </c>
      <c r="E946" s="84" t="s">
        <v>3906</v>
      </c>
      <c r="F946" s="83">
        <v>3</v>
      </c>
      <c r="G946" s="83" t="s">
        <v>3363</v>
      </c>
      <c r="H946" s="85">
        <v>45254</v>
      </c>
      <c r="I946" s="85" t="s">
        <v>1086</v>
      </c>
      <c r="J946" s="85" t="s">
        <v>78</v>
      </c>
      <c r="K946" s="83">
        <f>IFERROR(VLOOKUP(J946,Jueces!$A$1:$B$11,2,FALSE),"")</f>
        <v>8</v>
      </c>
      <c r="L946" s="83" t="s">
        <v>796</v>
      </c>
      <c r="M946" s="83" t="s">
        <v>694</v>
      </c>
      <c r="N946" s="83" t="s">
        <v>3936</v>
      </c>
      <c r="O946" s="83" t="str">
        <f t="shared" ca="1" si="54"/>
        <v>NO</v>
      </c>
      <c r="P946" s="83" t="str">
        <f t="shared" si="53"/>
        <v>DIANOSOL</v>
      </c>
      <c r="Q946" s="83" t="s">
        <v>951</v>
      </c>
      <c r="R946" s="83" t="str">
        <f>VLOOKUP($Q946,Resultados!$A$1:$B$49,2,FALSE)</f>
        <v xml:space="preserve"> _</v>
      </c>
      <c r="S946" s="83"/>
      <c r="T946" s="86" t="str">
        <f t="shared" si="55"/>
        <v>NO</v>
      </c>
      <c r="U946" s="86"/>
      <c r="V946" s="83"/>
      <c r="W946" s="83"/>
      <c r="X946" s="83"/>
      <c r="Y946" s="83"/>
      <c r="Z946" s="83"/>
      <c r="AA946" s="325" t="s">
        <v>1170</v>
      </c>
      <c r="AB946" s="83"/>
      <c r="AC946" s="80"/>
    </row>
    <row r="947" spans="1:29" ht="39.950000000000003" customHeight="1">
      <c r="A947" s="80">
        <v>972</v>
      </c>
      <c r="B947" s="82">
        <v>45237</v>
      </c>
      <c r="C947" s="384">
        <v>0.43263888888888885</v>
      </c>
      <c r="D947" s="83" t="s">
        <v>3930</v>
      </c>
      <c r="E947" s="84" t="s">
        <v>3931</v>
      </c>
      <c r="F947" s="80">
        <v>3</v>
      </c>
      <c r="G947" s="80" t="s">
        <v>2835</v>
      </c>
      <c r="H947" s="82">
        <v>45254</v>
      </c>
      <c r="I947" s="85" t="s">
        <v>1086</v>
      </c>
      <c r="J947" s="82" t="s">
        <v>1220</v>
      </c>
      <c r="K947" s="80">
        <f>IFERROR(VLOOKUP(J947,Jueces!$A$1:$B$11,2,FALSE),"")</f>
        <v>7</v>
      </c>
      <c r="L947" s="83" t="s">
        <v>829</v>
      </c>
      <c r="M947" s="83" t="s">
        <v>695</v>
      </c>
      <c r="N947" s="80"/>
      <c r="O947" s="83" t="str">
        <f t="shared" ca="1" si="54"/>
        <v>NO</v>
      </c>
      <c r="P947" s="83" t="str">
        <f t="shared" si="53"/>
        <v>DIANOSOL</v>
      </c>
      <c r="Q947" s="83" t="s">
        <v>951</v>
      </c>
      <c r="R947" s="83" t="str">
        <f>VLOOKUP($Q947,Resultados!$A$1:$B$49,2,FALSE)</f>
        <v xml:space="preserve"> _</v>
      </c>
      <c r="S947" s="83"/>
      <c r="T947" s="86" t="str">
        <f t="shared" si="55"/>
        <v>NO</v>
      </c>
      <c r="U947" s="86"/>
      <c r="V947" s="80"/>
      <c r="W947" s="80"/>
      <c r="X947" s="80"/>
      <c r="Y947" s="80"/>
      <c r="Z947" s="80"/>
      <c r="AA947" s="325" t="s">
        <v>2849</v>
      </c>
      <c r="AB947" s="80"/>
      <c r="AC947" s="80"/>
    </row>
    <row r="948" spans="1:29" ht="39.950000000000003" customHeight="1">
      <c r="A948" s="80">
        <v>1020</v>
      </c>
      <c r="B948" s="82"/>
      <c r="C948" s="80"/>
      <c r="D948" s="362" t="s">
        <v>159</v>
      </c>
      <c r="E948" s="84" t="s">
        <v>4111</v>
      </c>
      <c r="F948" s="80">
        <v>3</v>
      </c>
      <c r="G948" s="80" t="s">
        <v>43</v>
      </c>
      <c r="H948" s="82">
        <v>45254</v>
      </c>
      <c r="I948" s="85" t="s">
        <v>1209</v>
      </c>
      <c r="J948" s="82" t="s">
        <v>1220</v>
      </c>
      <c r="K948" s="80">
        <f>IFERROR(VLOOKUP(J948,Jueces!$A$1:$B$11,2,FALSE),"")</f>
        <v>7</v>
      </c>
      <c r="L948" s="83" t="s">
        <v>793</v>
      </c>
      <c r="M948" s="387" t="s">
        <v>4112</v>
      </c>
      <c r="N948" s="83" t="s">
        <v>4113</v>
      </c>
      <c r="O948" s="83" t="str">
        <f t="shared" ca="1" si="54"/>
        <v>NO</v>
      </c>
      <c r="P948" s="83" t="str">
        <f t="shared" si="53"/>
        <v>DIANOSOL</v>
      </c>
      <c r="Q948" s="83" t="s">
        <v>951</v>
      </c>
      <c r="R948" s="83" t="str">
        <f>VLOOKUP($Q948,Resultados!$A$1:$B$49,2,FALSE)</f>
        <v xml:space="preserve"> _</v>
      </c>
      <c r="S948" s="83"/>
      <c r="T948" s="86" t="str">
        <f t="shared" si="55"/>
        <v>NO</v>
      </c>
      <c r="U948" s="86"/>
      <c r="V948" s="80"/>
      <c r="W948" s="80"/>
      <c r="X948" s="80"/>
      <c r="Y948" s="80"/>
      <c r="Z948" s="80"/>
      <c r="AA948" s="83" t="s">
        <v>3421</v>
      </c>
      <c r="AB948" s="80"/>
      <c r="AC948" s="80" t="s">
        <v>1799</v>
      </c>
    </row>
    <row r="949" spans="1:29" ht="39.950000000000003" customHeight="1">
      <c r="A949" s="80">
        <v>975</v>
      </c>
      <c r="B949" s="82">
        <v>45238</v>
      </c>
      <c r="C949" s="384">
        <v>0.52222222222222225</v>
      </c>
      <c r="D949" s="83" t="s">
        <v>3958</v>
      </c>
      <c r="E949" s="84" t="s">
        <v>4035</v>
      </c>
      <c r="F949" s="80">
        <v>2</v>
      </c>
      <c r="G949" s="80" t="s">
        <v>3362</v>
      </c>
      <c r="H949" s="82">
        <v>45257</v>
      </c>
      <c r="I949" s="85" t="s">
        <v>4097</v>
      </c>
      <c r="J949" s="82" t="s">
        <v>1220</v>
      </c>
      <c r="K949" s="80">
        <f>IFERROR(VLOOKUP(J949,Jueces!$A$1:$B$11,2,FALSE),"")</f>
        <v>7</v>
      </c>
      <c r="L949" s="83" t="s">
        <v>813</v>
      </c>
      <c r="M949" s="83" t="s">
        <v>693</v>
      </c>
      <c r="N949" s="80"/>
      <c r="O949" s="83" t="str">
        <f t="shared" ca="1" si="54"/>
        <v>NO</v>
      </c>
      <c r="P949" s="83" t="str">
        <f t="shared" si="53"/>
        <v>DIANOSOL</v>
      </c>
      <c r="Q949" s="83" t="s">
        <v>951</v>
      </c>
      <c r="R949" s="83" t="str">
        <f>VLOOKUP($Q949,Resultados!$A$1:$B$49,2,FALSE)</f>
        <v xml:space="preserve"> _</v>
      </c>
      <c r="S949" s="83"/>
      <c r="T949" s="86" t="str">
        <f t="shared" si="55"/>
        <v>NO</v>
      </c>
      <c r="U949" s="86"/>
      <c r="V949" s="80"/>
      <c r="W949" s="80"/>
      <c r="X949" s="80"/>
      <c r="Y949" s="80"/>
      <c r="Z949" s="80"/>
      <c r="AA949" s="83" t="s">
        <v>3421</v>
      </c>
      <c r="AB949" s="80"/>
      <c r="AC949" s="80"/>
    </row>
    <row r="950" spans="1:29" ht="39.950000000000003" customHeight="1">
      <c r="A950" s="83">
        <v>942</v>
      </c>
      <c r="B950" s="85">
        <v>45233</v>
      </c>
      <c r="C950" s="327">
        <v>0.33333333333333331</v>
      </c>
      <c r="D950" s="83" t="s">
        <v>3845</v>
      </c>
      <c r="E950" s="84" t="s">
        <v>3846</v>
      </c>
      <c r="F950" s="83">
        <v>4</v>
      </c>
      <c r="G950" s="83" t="s">
        <v>2785</v>
      </c>
      <c r="H950" s="85">
        <v>45257</v>
      </c>
      <c r="I950" s="85" t="s">
        <v>73</v>
      </c>
      <c r="J950" s="85" t="s">
        <v>1220</v>
      </c>
      <c r="K950" s="83" t="s">
        <v>3990</v>
      </c>
      <c r="L950" s="83" t="s">
        <v>812</v>
      </c>
      <c r="M950" s="83" t="s">
        <v>3813</v>
      </c>
      <c r="N950" s="83"/>
      <c r="O950" s="83" t="str">
        <f t="shared" ca="1" si="54"/>
        <v>NO</v>
      </c>
      <c r="P950" s="83" t="str">
        <f t="shared" si="53"/>
        <v>DIANOSOL</v>
      </c>
      <c r="Q950" s="83" t="s">
        <v>951</v>
      </c>
      <c r="R950" s="83" t="str">
        <f>VLOOKUP($Q950,Resultados!$A$1:$B$49,2,FALSE)</f>
        <v xml:space="preserve"> _</v>
      </c>
      <c r="S950" s="83"/>
      <c r="T950" s="86" t="str">
        <f t="shared" si="55"/>
        <v>NO</v>
      </c>
      <c r="U950" s="86"/>
      <c r="V950" s="83"/>
      <c r="W950" s="83"/>
      <c r="X950" s="83"/>
      <c r="Y950" s="83"/>
      <c r="Z950" s="83"/>
      <c r="AA950" s="325" t="s">
        <v>2849</v>
      </c>
      <c r="AB950" s="83"/>
      <c r="AC950" s="80"/>
    </row>
    <row r="951" spans="1:29" ht="39.950000000000003" customHeight="1">
      <c r="A951" s="80">
        <v>968</v>
      </c>
      <c r="B951" s="82">
        <v>45237</v>
      </c>
      <c r="C951" s="384">
        <v>0.3430555555555555</v>
      </c>
      <c r="D951" s="83" t="s">
        <v>3923</v>
      </c>
      <c r="E951" s="84" t="s">
        <v>3924</v>
      </c>
      <c r="F951" s="80">
        <v>3</v>
      </c>
      <c r="G951" s="83" t="s">
        <v>568</v>
      </c>
      <c r="H951" s="82">
        <v>45257</v>
      </c>
      <c r="I951" s="85" t="s">
        <v>73</v>
      </c>
      <c r="J951" s="82" t="s">
        <v>35</v>
      </c>
      <c r="K951" s="80">
        <f>IFERROR(VLOOKUP(J951,Jueces!$A$1:$B$11,2,FALSE),"")</f>
        <v>3</v>
      </c>
      <c r="L951" s="83" t="s">
        <v>810</v>
      </c>
      <c r="M951" s="83" t="s">
        <v>695</v>
      </c>
      <c r="N951" s="80"/>
      <c r="O951" s="83" t="str">
        <f t="shared" ca="1" si="54"/>
        <v>NO</v>
      </c>
      <c r="P951" s="83" t="str">
        <f t="shared" si="53"/>
        <v>DIANOSOL</v>
      </c>
      <c r="Q951" s="83" t="s">
        <v>951</v>
      </c>
      <c r="R951" s="83" t="str">
        <f>VLOOKUP($Q951,Resultados!$A$1:$B$49,2,FALSE)</f>
        <v xml:space="preserve"> _</v>
      </c>
      <c r="S951" s="83"/>
      <c r="T951" s="86" t="str">
        <f t="shared" si="55"/>
        <v>NO</v>
      </c>
      <c r="U951" s="86"/>
      <c r="V951" s="80"/>
      <c r="W951" s="80"/>
      <c r="X951" s="80"/>
      <c r="Y951" s="80"/>
      <c r="Z951" s="80"/>
      <c r="AA951" s="325" t="s">
        <v>1168</v>
      </c>
      <c r="AB951" s="80"/>
      <c r="AC951" s="80"/>
    </row>
    <row r="952" spans="1:29" ht="39.950000000000003" customHeight="1">
      <c r="A952" s="80">
        <v>969</v>
      </c>
      <c r="B952" s="82">
        <v>45237</v>
      </c>
      <c r="C952" s="384">
        <v>0.34236111111111112</v>
      </c>
      <c r="D952" s="83" t="s">
        <v>3925</v>
      </c>
      <c r="E952" s="84" t="s">
        <v>4014</v>
      </c>
      <c r="F952" s="80">
        <v>3</v>
      </c>
      <c r="G952" s="83" t="s">
        <v>3363</v>
      </c>
      <c r="H952" s="82">
        <v>45257</v>
      </c>
      <c r="I952" s="85" t="s">
        <v>73</v>
      </c>
      <c r="J952" s="85" t="s">
        <v>31</v>
      </c>
      <c r="K952" s="80">
        <f>IFERROR(VLOOKUP(J952,Jueces!$A$1:$B$11,2,FALSE),"")</f>
        <v>2</v>
      </c>
      <c r="L952" s="83" t="s">
        <v>806</v>
      </c>
      <c r="M952" s="83" t="s">
        <v>694</v>
      </c>
      <c r="N952" s="80"/>
      <c r="O952" s="83" t="str">
        <f t="shared" ca="1" si="54"/>
        <v>NO</v>
      </c>
      <c r="P952" s="83" t="str">
        <f t="shared" si="53"/>
        <v>DIANOSOL</v>
      </c>
      <c r="Q952" s="83" t="s">
        <v>951</v>
      </c>
      <c r="R952" s="83" t="str">
        <f>VLOOKUP($Q952,Resultados!$A$1:$B$49,2,FALSE)</f>
        <v xml:space="preserve"> _</v>
      </c>
      <c r="S952" s="83"/>
      <c r="T952" s="86" t="str">
        <f t="shared" si="55"/>
        <v>NO</v>
      </c>
      <c r="U952" s="86"/>
      <c r="V952" s="80"/>
      <c r="W952" s="80"/>
      <c r="X952" s="80"/>
      <c r="Y952" s="80"/>
      <c r="Z952" s="80"/>
      <c r="AA952" s="325" t="s">
        <v>1170</v>
      </c>
      <c r="AB952" s="80"/>
      <c r="AC952" s="80"/>
    </row>
    <row r="953" spans="1:29" ht="39.950000000000003" customHeight="1">
      <c r="A953" s="80">
        <v>970</v>
      </c>
      <c r="B953" s="82">
        <v>45237</v>
      </c>
      <c r="C953" s="411">
        <v>0.44236111111111115</v>
      </c>
      <c r="D953" s="83" t="s">
        <v>1765</v>
      </c>
      <c r="E953" s="84" t="s">
        <v>3927</v>
      </c>
      <c r="F953" s="80">
        <v>1</v>
      </c>
      <c r="G953" s="80" t="s">
        <v>283</v>
      </c>
      <c r="H953" s="82">
        <v>45257</v>
      </c>
      <c r="I953" s="85" t="s">
        <v>73</v>
      </c>
      <c r="J953" s="82" t="s">
        <v>33</v>
      </c>
      <c r="K953" s="80">
        <f>IFERROR(VLOOKUP(J953,Jueces!$A$1:$B$11,2,FALSE),"")</f>
        <v>4</v>
      </c>
      <c r="L953" s="83" t="s">
        <v>803</v>
      </c>
      <c r="M953" s="369" t="s">
        <v>4036</v>
      </c>
      <c r="N953" s="83" t="s">
        <v>4037</v>
      </c>
      <c r="O953" s="83" t="str">
        <f t="shared" ca="1" si="54"/>
        <v>NO</v>
      </c>
      <c r="P953" s="83" t="str">
        <f t="shared" si="53"/>
        <v>DIANOSOL</v>
      </c>
      <c r="Q953" s="83" t="s">
        <v>951</v>
      </c>
      <c r="R953" s="83" t="str">
        <f>VLOOKUP($Q953,Resultados!$A$1:$B$49,2,FALSE)</f>
        <v xml:space="preserve"> _</v>
      </c>
      <c r="S953" s="83"/>
      <c r="T953" s="86" t="str">
        <f t="shared" si="55"/>
        <v>NO</v>
      </c>
      <c r="U953" s="86"/>
      <c r="V953" s="80"/>
      <c r="W953" s="80"/>
      <c r="X953" s="80"/>
      <c r="Y953" s="80"/>
      <c r="Z953" s="80"/>
      <c r="AA953" s="80"/>
      <c r="AB953" s="80"/>
      <c r="AC953" s="80"/>
    </row>
    <row r="954" spans="1:29" ht="39.950000000000003" customHeight="1">
      <c r="A954" s="83">
        <v>946</v>
      </c>
      <c r="B954" s="85">
        <v>45236</v>
      </c>
      <c r="C954" s="327">
        <v>0.33333333333333331</v>
      </c>
      <c r="D954" s="83" t="s">
        <v>3867</v>
      </c>
      <c r="E954" s="84" t="s">
        <v>3989</v>
      </c>
      <c r="F954" s="83">
        <v>4</v>
      </c>
      <c r="G954" s="83" t="s">
        <v>2835</v>
      </c>
      <c r="H954" s="85">
        <v>45257</v>
      </c>
      <c r="I954" s="85" t="s">
        <v>1086</v>
      </c>
      <c r="J954" s="85" t="s">
        <v>1730</v>
      </c>
      <c r="K954" s="83" t="s">
        <v>4013</v>
      </c>
      <c r="L954" s="83" t="s">
        <v>811</v>
      </c>
      <c r="M954" s="83" t="s">
        <v>3813</v>
      </c>
      <c r="N954" s="83"/>
      <c r="O954" s="83" t="str">
        <f t="shared" ca="1" si="54"/>
        <v>NO</v>
      </c>
      <c r="P954" s="83" t="str">
        <f t="shared" si="53"/>
        <v>DIANOSOL</v>
      </c>
      <c r="Q954" s="83" t="s">
        <v>951</v>
      </c>
      <c r="R954" s="83" t="str">
        <f>VLOOKUP($Q954,Resultados!$A$1:$B$49,2,FALSE)</f>
        <v xml:space="preserve"> _</v>
      </c>
      <c r="S954" s="83"/>
      <c r="T954" s="86" t="str">
        <f t="shared" si="55"/>
        <v>NO</v>
      </c>
      <c r="U954" s="86"/>
      <c r="V954" s="83"/>
      <c r="W954" s="83"/>
      <c r="X954" s="83"/>
      <c r="Y954" s="83"/>
      <c r="Z954" s="83"/>
      <c r="AA954" s="325" t="s">
        <v>2849</v>
      </c>
      <c r="AB954" s="83"/>
      <c r="AC954" s="80"/>
    </row>
    <row r="955" spans="1:29" ht="39.950000000000003" customHeight="1">
      <c r="A955" s="83">
        <v>955</v>
      </c>
      <c r="B955" s="85">
        <v>45236</v>
      </c>
      <c r="C955" s="327">
        <v>0.42569444444444443</v>
      </c>
      <c r="D955" s="83" t="s">
        <v>3885</v>
      </c>
      <c r="E955" s="84" t="s">
        <v>3886</v>
      </c>
      <c r="F955" s="83">
        <v>3</v>
      </c>
      <c r="G955" s="83" t="s">
        <v>1441</v>
      </c>
      <c r="H955" s="85">
        <v>45257</v>
      </c>
      <c r="I955" s="85" t="s">
        <v>1086</v>
      </c>
      <c r="J955" s="85" t="s">
        <v>78</v>
      </c>
      <c r="K955" s="83">
        <f>IFERROR(VLOOKUP(J955,Jueces!$A$1:$B$11,2,FALSE),"")</f>
        <v>8</v>
      </c>
      <c r="L955" s="83" t="s">
        <v>798</v>
      </c>
      <c r="M955" s="83" t="s">
        <v>695</v>
      </c>
      <c r="N955" s="83"/>
      <c r="O955" s="83" t="str">
        <f t="shared" ca="1" si="54"/>
        <v>NO</v>
      </c>
      <c r="P955" s="83" t="str">
        <f t="shared" si="53"/>
        <v>DIANOSOL</v>
      </c>
      <c r="Q955" s="83" t="s">
        <v>951</v>
      </c>
      <c r="R955" s="83" t="str">
        <f>VLOOKUP($Q955,Resultados!$A$1:$B$49,2,FALSE)</f>
        <v xml:space="preserve"> _</v>
      </c>
      <c r="S955" s="83"/>
      <c r="T955" s="86" t="str">
        <f t="shared" si="55"/>
        <v>NO</v>
      </c>
      <c r="U955" s="86"/>
      <c r="V955" s="83"/>
      <c r="W955" s="83"/>
      <c r="X955" s="83"/>
      <c r="Y955" s="83"/>
      <c r="Z955" s="83"/>
      <c r="AA955" s="325" t="s">
        <v>2892</v>
      </c>
      <c r="AB955" s="83"/>
      <c r="AC955" s="80"/>
    </row>
    <row r="956" spans="1:29" ht="39.950000000000003" customHeight="1">
      <c r="A956" s="80">
        <v>977</v>
      </c>
      <c r="B956" s="82">
        <v>45238</v>
      </c>
      <c r="C956" s="411">
        <v>0.43472222222222223</v>
      </c>
      <c r="D956" s="83" t="s">
        <v>3951</v>
      </c>
      <c r="E956" s="84" t="s">
        <v>3962</v>
      </c>
      <c r="F956" s="80">
        <v>4</v>
      </c>
      <c r="G956" s="80" t="s">
        <v>2771</v>
      </c>
      <c r="H956" s="82">
        <v>45257</v>
      </c>
      <c r="I956" s="85" t="s">
        <v>1086</v>
      </c>
      <c r="J956" s="82" t="s">
        <v>33</v>
      </c>
      <c r="K956" s="80">
        <f>IFERROR(VLOOKUP(J956,Jueces!$A$1:$B$11,2,FALSE),"")</f>
        <v>4</v>
      </c>
      <c r="L956" s="83" t="s">
        <v>789</v>
      </c>
      <c r="M956" s="83" t="s">
        <v>1874</v>
      </c>
      <c r="N956" s="83" t="s">
        <v>4127</v>
      </c>
      <c r="O956" s="83" t="str">
        <f t="shared" ca="1" si="54"/>
        <v>NO</v>
      </c>
      <c r="P956" s="83" t="str">
        <f t="shared" si="53"/>
        <v>DIANOSOL</v>
      </c>
      <c r="Q956" s="83" t="s">
        <v>951</v>
      </c>
      <c r="R956" s="83" t="str">
        <f>VLOOKUP($Q956,Resultados!$A$1:$B$49,2,FALSE)</f>
        <v xml:space="preserve"> _</v>
      </c>
      <c r="S956" s="83"/>
      <c r="T956" s="86" t="str">
        <f t="shared" si="55"/>
        <v>NO</v>
      </c>
      <c r="U956" s="86"/>
      <c r="V956" s="80"/>
      <c r="W956" s="80"/>
      <c r="X956" s="80"/>
      <c r="Y956" s="80"/>
      <c r="Z956" s="80"/>
      <c r="AA956" s="83" t="s">
        <v>3421</v>
      </c>
      <c r="AB956" s="80"/>
      <c r="AC956" s="80"/>
    </row>
    <row r="957" spans="1:29" ht="39.950000000000003" customHeight="1">
      <c r="A957" s="83">
        <v>947</v>
      </c>
      <c r="B957" s="85">
        <v>45236</v>
      </c>
      <c r="C957" s="327">
        <v>0.33333333333333331</v>
      </c>
      <c r="D957" s="83" t="s">
        <v>3868</v>
      </c>
      <c r="E957" s="84" t="s">
        <v>3988</v>
      </c>
      <c r="F957" s="83">
        <v>4</v>
      </c>
      <c r="G957" s="83" t="s">
        <v>1440</v>
      </c>
      <c r="H957" s="85">
        <v>45258</v>
      </c>
      <c r="I957" s="85" t="s">
        <v>73</v>
      </c>
      <c r="J957" s="85" t="s">
        <v>35</v>
      </c>
      <c r="K957" s="83">
        <f>IFERROR(VLOOKUP(J957,Jueces!$A$1:$B$11,2,FALSE),"")</f>
        <v>3</v>
      </c>
      <c r="L957" s="83" t="s">
        <v>806</v>
      </c>
      <c r="M957" s="83" t="s">
        <v>3813</v>
      </c>
      <c r="N957" s="83"/>
      <c r="O957" s="83" t="str">
        <f t="shared" ca="1" si="54"/>
        <v>NO</v>
      </c>
      <c r="P957" s="83" t="str">
        <f t="shared" si="53"/>
        <v>DIANOSOL</v>
      </c>
      <c r="Q957" s="83" t="s">
        <v>951</v>
      </c>
      <c r="R957" s="83" t="str">
        <f>VLOOKUP($Q957,Resultados!$A$1:$B$49,2,FALSE)</f>
        <v xml:space="preserve"> _</v>
      </c>
      <c r="S957" s="83"/>
      <c r="T957" s="86" t="str">
        <f t="shared" si="55"/>
        <v>SI</v>
      </c>
      <c r="U957" s="86"/>
      <c r="V957" s="83"/>
      <c r="W957" s="83"/>
      <c r="X957" s="83"/>
      <c r="Y957" s="83"/>
      <c r="Z957" s="83"/>
      <c r="AA957" s="325" t="s">
        <v>1168</v>
      </c>
      <c r="AB957" s="83"/>
      <c r="AC957" s="80"/>
    </row>
    <row r="958" spans="1:29" ht="39.950000000000003" customHeight="1">
      <c r="A958" s="83">
        <v>967</v>
      </c>
      <c r="B958" s="85">
        <v>45237</v>
      </c>
      <c r="C958" s="327">
        <v>0.36805555555555558</v>
      </c>
      <c r="D958" s="83" t="s">
        <v>3921</v>
      </c>
      <c r="E958" s="84" t="s">
        <v>3922</v>
      </c>
      <c r="F958" s="83">
        <v>4</v>
      </c>
      <c r="G958" s="83" t="s">
        <v>2785</v>
      </c>
      <c r="H958" s="85">
        <v>45258</v>
      </c>
      <c r="I958" s="85" t="s">
        <v>73</v>
      </c>
      <c r="J958" s="85" t="s">
        <v>2951</v>
      </c>
      <c r="K958" s="83" t="s">
        <v>3835</v>
      </c>
      <c r="L958" s="83" t="s">
        <v>810</v>
      </c>
      <c r="M958" s="83" t="s">
        <v>1874</v>
      </c>
      <c r="N958" s="83"/>
      <c r="O958" s="83" t="str">
        <f t="shared" ca="1" si="54"/>
        <v>NO</v>
      </c>
      <c r="P958" s="83" t="str">
        <f t="shared" si="53"/>
        <v>DIANOSOL</v>
      </c>
      <c r="Q958" s="83" t="s">
        <v>951</v>
      </c>
      <c r="R958" s="83" t="str">
        <f>VLOOKUP($Q958,Resultados!$A$1:$B$49,2,FALSE)</f>
        <v xml:space="preserve"> _</v>
      </c>
      <c r="S958" s="83"/>
      <c r="T958" s="86" t="str">
        <f t="shared" si="55"/>
        <v>NO</v>
      </c>
      <c r="U958" s="86"/>
      <c r="V958" s="83"/>
      <c r="W958" s="83"/>
      <c r="X958" s="83"/>
      <c r="Y958" s="83"/>
      <c r="Z958" s="83"/>
      <c r="AA958" s="325" t="s">
        <v>2849</v>
      </c>
      <c r="AB958" s="83"/>
      <c r="AC958" s="80"/>
    </row>
    <row r="959" spans="1:29" ht="39.950000000000003" customHeight="1">
      <c r="A959" s="83">
        <v>816</v>
      </c>
      <c r="B959" s="85">
        <v>45211</v>
      </c>
      <c r="C959" s="327">
        <v>0.5444444444444444</v>
      </c>
      <c r="D959" s="362" t="s">
        <v>3414</v>
      </c>
      <c r="E959" s="84" t="s">
        <v>3415</v>
      </c>
      <c r="F959" s="83">
        <v>1</v>
      </c>
      <c r="G959" s="83" t="s">
        <v>1440</v>
      </c>
      <c r="H959" s="85">
        <v>45258</v>
      </c>
      <c r="I959" s="85" t="s">
        <v>73</v>
      </c>
      <c r="J959" s="85" t="s">
        <v>78</v>
      </c>
      <c r="K959" s="83">
        <f>IFERROR(VLOOKUP(J959,Jueces!$A$1:$B$11,2,FALSE),"")</f>
        <v>8</v>
      </c>
      <c r="L959" s="83" t="s">
        <v>582</v>
      </c>
      <c r="M959" s="83" t="s">
        <v>2054</v>
      </c>
      <c r="N959" s="83" t="s">
        <v>3718</v>
      </c>
      <c r="O959" s="83" t="str">
        <f t="shared" ca="1" si="54"/>
        <v>NO</v>
      </c>
      <c r="P959" s="83" t="str">
        <f t="shared" si="53"/>
        <v>DIANOSOL</v>
      </c>
      <c r="Q959" s="83" t="s">
        <v>951</v>
      </c>
      <c r="R959" s="83" t="str">
        <f>VLOOKUP($Q959,Resultados!$A$1:$B$49,2,FALSE)</f>
        <v xml:space="preserve"> _</v>
      </c>
      <c r="S959" s="83"/>
      <c r="T959" s="86" t="str">
        <f t="shared" si="55"/>
        <v>SI</v>
      </c>
      <c r="U959" s="86"/>
      <c r="V959" s="83"/>
      <c r="W959" s="83"/>
      <c r="X959" s="83"/>
      <c r="Y959" s="83"/>
      <c r="Z959" s="83"/>
      <c r="AA959" s="325"/>
      <c r="AB959" s="325" t="s">
        <v>3297</v>
      </c>
      <c r="AC959" s="80" t="s">
        <v>1799</v>
      </c>
    </row>
    <row r="960" spans="1:29" ht="39.950000000000003" customHeight="1">
      <c r="A960" s="80">
        <v>978</v>
      </c>
      <c r="B960" s="82">
        <v>45238</v>
      </c>
      <c r="C960" s="411">
        <v>0.43124999999999997</v>
      </c>
      <c r="D960" s="83" t="s">
        <v>3963</v>
      </c>
      <c r="E960" s="84" t="s">
        <v>3964</v>
      </c>
      <c r="F960" s="80">
        <v>7</v>
      </c>
      <c r="G960" s="80" t="s">
        <v>1442</v>
      </c>
      <c r="H960" s="82">
        <v>45258</v>
      </c>
      <c r="I960" s="85" t="s">
        <v>749</v>
      </c>
      <c r="J960" s="82" t="s">
        <v>1224</v>
      </c>
      <c r="K960" s="80">
        <f>IFERROR(VLOOKUP(J960,Jueces!$A$1:$B$11,2,FALSE),"")</f>
        <v>6</v>
      </c>
      <c r="L960" s="83" t="s">
        <v>813</v>
      </c>
      <c r="M960" s="369" t="s">
        <v>3502</v>
      </c>
      <c r="N960" s="80"/>
      <c r="O960" s="83" t="str">
        <f t="shared" ca="1" si="54"/>
        <v>NO</v>
      </c>
      <c r="P960" s="83" t="str">
        <f t="shared" si="53"/>
        <v>DIANOSOL</v>
      </c>
      <c r="Q960" s="83" t="s">
        <v>951</v>
      </c>
      <c r="R960" s="83" t="str">
        <f>VLOOKUP($Q960,Resultados!$A$1:$B$49,2,FALSE)</f>
        <v xml:space="preserve"> _</v>
      </c>
      <c r="S960" s="83"/>
      <c r="T960" s="86" t="str">
        <f t="shared" si="55"/>
        <v>NO</v>
      </c>
      <c r="U960" s="86"/>
      <c r="V960" s="80"/>
      <c r="W960" s="80"/>
      <c r="X960" s="80"/>
      <c r="Y960" s="80"/>
      <c r="Z960" s="80"/>
      <c r="AA960" s="83" t="s">
        <v>3421</v>
      </c>
      <c r="AB960" s="80"/>
      <c r="AC960" s="80"/>
    </row>
    <row r="961" spans="1:29" ht="39.950000000000003" customHeight="1">
      <c r="A961" s="83">
        <v>961</v>
      </c>
      <c r="B961" s="85">
        <v>45237</v>
      </c>
      <c r="C961" s="327">
        <v>0.33333333333333331</v>
      </c>
      <c r="D961" s="83" t="s">
        <v>3912</v>
      </c>
      <c r="E961" s="84" t="s">
        <v>3985</v>
      </c>
      <c r="F961" s="83">
        <v>4</v>
      </c>
      <c r="G961" s="83" t="s">
        <v>3363</v>
      </c>
      <c r="H961" s="85">
        <v>45258</v>
      </c>
      <c r="I961" s="85" t="s">
        <v>1086</v>
      </c>
      <c r="J961" s="85" t="s">
        <v>1220</v>
      </c>
      <c r="K961" s="83" t="s">
        <v>3838</v>
      </c>
      <c r="L961" s="83" t="s">
        <v>812</v>
      </c>
      <c r="M961" s="81" t="s">
        <v>1874</v>
      </c>
      <c r="N961" s="83"/>
      <c r="O961" s="83" t="str">
        <f t="shared" ca="1" si="54"/>
        <v>NO</v>
      </c>
      <c r="P961" s="83" t="str">
        <f t="shared" si="53"/>
        <v>DIANOSOL</v>
      </c>
      <c r="Q961" s="83" t="s">
        <v>951</v>
      </c>
      <c r="R961" s="83" t="str">
        <f>VLOOKUP($Q961,Resultados!$A$1:$B$49,2,FALSE)</f>
        <v xml:space="preserve"> _</v>
      </c>
      <c r="S961" s="83"/>
      <c r="T961" s="86" t="str">
        <f t="shared" si="55"/>
        <v>NO</v>
      </c>
      <c r="U961" s="86"/>
      <c r="V961" s="83"/>
      <c r="W961" s="83"/>
      <c r="X961" s="83"/>
      <c r="Y961" s="83"/>
      <c r="Z961" s="83"/>
      <c r="AA961" s="325" t="s">
        <v>1170</v>
      </c>
      <c r="AB961" s="83"/>
      <c r="AC961" s="80"/>
    </row>
    <row r="962" spans="1:29" ht="39.950000000000003" customHeight="1">
      <c r="A962" s="80">
        <v>971</v>
      </c>
      <c r="B962" s="82">
        <v>45237</v>
      </c>
      <c r="C962" s="411">
        <v>0.44097222222222227</v>
      </c>
      <c r="D962" s="83" t="s">
        <v>3928</v>
      </c>
      <c r="E962" s="84" t="s">
        <v>3929</v>
      </c>
      <c r="F962" s="80">
        <v>3</v>
      </c>
      <c r="G962" s="80" t="s">
        <v>1441</v>
      </c>
      <c r="H962" s="82">
        <v>45258</v>
      </c>
      <c r="I962" s="85" t="s">
        <v>1086</v>
      </c>
      <c r="J962" s="82" t="s">
        <v>31</v>
      </c>
      <c r="K962" s="80">
        <f>IFERROR(VLOOKUP(J962,Jueces!$A$1:$B$11,2,FALSE),"")</f>
        <v>2</v>
      </c>
      <c r="L962" s="83" t="s">
        <v>1700</v>
      </c>
      <c r="M962" s="403" t="s">
        <v>1415</v>
      </c>
      <c r="N962" s="80"/>
      <c r="O962" s="83" t="str">
        <f t="shared" ca="1" si="54"/>
        <v>NO</v>
      </c>
      <c r="P962" s="83" t="str">
        <f t="shared" si="53"/>
        <v>DIANOSOL</v>
      </c>
      <c r="Q962" s="83" t="s">
        <v>951</v>
      </c>
      <c r="R962" s="83" t="str">
        <f>VLOOKUP($Q962,Resultados!$A$1:$B$49,2,FALSE)</f>
        <v xml:space="preserve"> _</v>
      </c>
      <c r="S962" s="83"/>
      <c r="T962" s="86" t="str">
        <f t="shared" si="55"/>
        <v>NO</v>
      </c>
      <c r="U962" s="86"/>
      <c r="V962" s="80"/>
      <c r="W962" s="80"/>
      <c r="X962" s="80"/>
      <c r="Y962" s="80"/>
      <c r="Z962" s="80"/>
      <c r="AA962" s="325" t="s">
        <v>2892</v>
      </c>
      <c r="AB962" s="80"/>
      <c r="AC962" s="80"/>
    </row>
    <row r="963" spans="1:29" ht="39.950000000000003" customHeight="1">
      <c r="A963" s="80">
        <v>1007</v>
      </c>
      <c r="B963" s="82">
        <v>48531</v>
      </c>
      <c r="C963" s="384">
        <v>0.38472222222222219</v>
      </c>
      <c r="D963" s="83" t="s">
        <v>4063</v>
      </c>
      <c r="E963" s="84" t="s">
        <v>4121</v>
      </c>
      <c r="F963" s="80">
        <v>3</v>
      </c>
      <c r="G963" s="80" t="s">
        <v>2835</v>
      </c>
      <c r="H963" s="82">
        <v>45258</v>
      </c>
      <c r="I963" s="85" t="s">
        <v>1086</v>
      </c>
      <c r="J963" s="82" t="s">
        <v>2948</v>
      </c>
      <c r="K963" s="83" t="s">
        <v>3954</v>
      </c>
      <c r="L963" s="83" t="s">
        <v>800</v>
      </c>
      <c r="M963" s="403" t="s">
        <v>4122</v>
      </c>
      <c r="N963" s="83" t="s">
        <v>4064</v>
      </c>
      <c r="O963" s="83" t="str">
        <f t="shared" ca="1" si="54"/>
        <v>NO</v>
      </c>
      <c r="P963" s="83" t="str">
        <f t="shared" ref="P963:P1026" si="56">IF($P$1=H963,"DIASOL", "DIANOSOL")</f>
        <v>DIANOSOL</v>
      </c>
      <c r="Q963" s="83" t="s">
        <v>951</v>
      </c>
      <c r="R963" s="83" t="str">
        <f>VLOOKUP($Q963,Resultados!$A$1:$B$49,2,FALSE)</f>
        <v xml:space="preserve"> _</v>
      </c>
      <c r="S963" s="83"/>
      <c r="T963" s="86" t="str">
        <f t="shared" si="55"/>
        <v>NO</v>
      </c>
      <c r="U963" s="86"/>
      <c r="V963" s="80"/>
      <c r="W963" s="80"/>
      <c r="X963" s="80"/>
      <c r="Y963" s="80"/>
      <c r="Z963" s="80"/>
      <c r="AA963" s="80"/>
      <c r="AB963" s="80"/>
      <c r="AC963" s="80"/>
    </row>
    <row r="964" spans="1:29" ht="39.950000000000003" customHeight="1">
      <c r="A964" s="83">
        <v>966</v>
      </c>
      <c r="B964" s="85">
        <v>45237</v>
      </c>
      <c r="C964" s="327">
        <v>0.37083333333333335</v>
      </c>
      <c r="D964" s="83" t="s">
        <v>3920</v>
      </c>
      <c r="E964" s="84" t="s">
        <v>3986</v>
      </c>
      <c r="F964" s="83">
        <v>4</v>
      </c>
      <c r="G964" s="83" t="s">
        <v>1440</v>
      </c>
      <c r="H964" s="85">
        <v>45259</v>
      </c>
      <c r="I964" s="85" t="s">
        <v>73</v>
      </c>
      <c r="J964" s="85" t="s">
        <v>2951</v>
      </c>
      <c r="K964" s="83" t="s">
        <v>3838</v>
      </c>
      <c r="L964" s="83" t="s">
        <v>813</v>
      </c>
      <c r="M964" s="83" t="s">
        <v>3813</v>
      </c>
      <c r="N964" s="83"/>
      <c r="O964" s="83" t="str">
        <f t="shared" ca="1" si="54"/>
        <v>NO</v>
      </c>
      <c r="P964" s="83" t="str">
        <f t="shared" si="56"/>
        <v>DIANOSOL</v>
      </c>
      <c r="Q964" s="83" t="s">
        <v>951</v>
      </c>
      <c r="R964" s="83" t="str">
        <f>VLOOKUP($Q964,Resultados!$A$1:$B$49,2,FALSE)</f>
        <v xml:space="preserve"> _</v>
      </c>
      <c r="S964" s="83"/>
      <c r="T964" s="86" t="str">
        <f t="shared" si="55"/>
        <v>SI</v>
      </c>
      <c r="U964" s="86"/>
      <c r="V964" s="83"/>
      <c r="W964" s="83"/>
      <c r="X964" s="83"/>
      <c r="Y964" s="83"/>
      <c r="Z964" s="83"/>
      <c r="AA964" s="325" t="s">
        <v>1170</v>
      </c>
      <c r="AB964" s="83"/>
      <c r="AC964" s="80"/>
    </row>
    <row r="965" spans="1:29" ht="39.950000000000003" customHeight="1">
      <c r="A965" s="80">
        <v>974</v>
      </c>
      <c r="B965" s="82">
        <v>45238</v>
      </c>
      <c r="C965" s="384">
        <v>0.52986111111111112</v>
      </c>
      <c r="D965" s="83" t="s">
        <v>3956</v>
      </c>
      <c r="E965" s="84" t="s">
        <v>3957</v>
      </c>
      <c r="F965" s="80">
        <v>3</v>
      </c>
      <c r="G965" s="83" t="s">
        <v>568</v>
      </c>
      <c r="H965" s="82">
        <v>45259</v>
      </c>
      <c r="I965" s="85" t="s">
        <v>73</v>
      </c>
      <c r="J965" s="85" t="s">
        <v>33</v>
      </c>
      <c r="K965" s="80">
        <f>IFERROR(VLOOKUP(J965,Jueces!$A$1:$B$11,2,FALSE),"")</f>
        <v>4</v>
      </c>
      <c r="L965" s="83" t="s">
        <v>809</v>
      </c>
      <c r="M965" s="423" t="s">
        <v>2263</v>
      </c>
      <c r="N965" s="80"/>
      <c r="O965" s="83" t="str">
        <f t="shared" ca="1" si="54"/>
        <v>NO</v>
      </c>
      <c r="P965" s="83" t="str">
        <f t="shared" si="56"/>
        <v>DIANOSOL</v>
      </c>
      <c r="Q965" s="83" t="s">
        <v>951</v>
      </c>
      <c r="R965" s="83" t="str">
        <f>VLOOKUP($Q965,Resultados!$A$1:$B$49,2,FALSE)</f>
        <v xml:space="preserve"> _</v>
      </c>
      <c r="S965" s="83"/>
      <c r="T965" s="86" t="str">
        <f t="shared" si="55"/>
        <v>NO</v>
      </c>
      <c r="U965" s="86"/>
      <c r="V965" s="80"/>
      <c r="W965" s="80"/>
      <c r="X965" s="80"/>
      <c r="Y965" s="80"/>
      <c r="Z965" s="80"/>
      <c r="AA965" s="325" t="s">
        <v>1168</v>
      </c>
      <c r="AB965" s="80"/>
      <c r="AC965" s="80"/>
    </row>
    <row r="966" spans="1:29" ht="39.950000000000003" customHeight="1">
      <c r="A966" s="80">
        <v>997</v>
      </c>
      <c r="B966" s="82">
        <v>45239</v>
      </c>
      <c r="C966" s="384">
        <v>0.37986111111111115</v>
      </c>
      <c r="D966" s="362" t="s">
        <v>4033</v>
      </c>
      <c r="E966" s="84" t="s">
        <v>4034</v>
      </c>
      <c r="F966" s="80">
        <v>3</v>
      </c>
      <c r="G966" s="80" t="s">
        <v>3363</v>
      </c>
      <c r="H966" s="82">
        <v>45259</v>
      </c>
      <c r="I966" s="85" t="s">
        <v>73</v>
      </c>
      <c r="J966" s="82" t="s">
        <v>2948</v>
      </c>
      <c r="K966" s="83" t="s">
        <v>3835</v>
      </c>
      <c r="L966" s="83" t="s">
        <v>807</v>
      </c>
      <c r="M966" s="83" t="s">
        <v>695</v>
      </c>
      <c r="N966" s="80"/>
      <c r="O966" s="83" t="str">
        <f t="shared" ca="1" si="54"/>
        <v>NO</v>
      </c>
      <c r="P966" s="83" t="str">
        <f t="shared" si="56"/>
        <v>DIANOSOL</v>
      </c>
      <c r="Q966" s="83" t="s">
        <v>951</v>
      </c>
      <c r="R966" s="83" t="str">
        <f>VLOOKUP($Q966,Resultados!$A$1:$B$49,2,FALSE)</f>
        <v xml:space="preserve"> _</v>
      </c>
      <c r="S966" s="83"/>
      <c r="T966" s="86" t="str">
        <f t="shared" si="55"/>
        <v>NO</v>
      </c>
      <c r="U966" s="86"/>
      <c r="V966" s="80"/>
      <c r="W966" s="80"/>
      <c r="X966" s="80"/>
      <c r="Y966" s="80"/>
      <c r="Z966" s="80"/>
      <c r="AA966" s="83" t="s">
        <v>3421</v>
      </c>
      <c r="AB966" s="80"/>
      <c r="AC966" s="80" t="s">
        <v>1799</v>
      </c>
    </row>
    <row r="967" spans="1:29" ht="39.950000000000003" customHeight="1">
      <c r="A967" s="80">
        <v>989</v>
      </c>
      <c r="B967" s="82">
        <v>45239</v>
      </c>
      <c r="C967" s="411">
        <v>0.53194444444444444</v>
      </c>
      <c r="D967" s="83" t="s">
        <v>4019</v>
      </c>
      <c r="E967" s="84" t="s">
        <v>4020</v>
      </c>
      <c r="F967" s="80">
        <v>3</v>
      </c>
      <c r="G967" s="80" t="s">
        <v>1441</v>
      </c>
      <c r="H967" s="82">
        <v>45259</v>
      </c>
      <c r="I967" s="85" t="s">
        <v>749</v>
      </c>
      <c r="J967" s="82" t="s">
        <v>1224</v>
      </c>
      <c r="K967" s="80">
        <f>IFERROR(VLOOKUP(J967,Jueces!$A$1:$B$11,2,FALSE),"")</f>
        <v>6</v>
      </c>
      <c r="L967" s="83" t="s">
        <v>810</v>
      </c>
      <c r="M967" s="369" t="s">
        <v>4056</v>
      </c>
      <c r="N967" s="412"/>
      <c r="O967" s="84" t="str">
        <f t="shared" ca="1" si="54"/>
        <v>NO</v>
      </c>
      <c r="P967" s="84" t="str">
        <f t="shared" si="56"/>
        <v>DIANOSOL</v>
      </c>
      <c r="Q967" s="84" t="s">
        <v>951</v>
      </c>
      <c r="R967" s="84" t="str">
        <f>VLOOKUP($Q967,Resultados!$A$1:$B$49,2,FALSE)</f>
        <v xml:space="preserve"> _</v>
      </c>
      <c r="S967" s="84"/>
      <c r="T967" s="415" t="str">
        <f t="shared" si="55"/>
        <v>NO</v>
      </c>
      <c r="U967" s="415"/>
      <c r="V967" s="412"/>
      <c r="W967" s="412"/>
      <c r="X967" s="412"/>
      <c r="Y967" s="412"/>
      <c r="Z967" s="412"/>
      <c r="AA967" s="83" t="s">
        <v>2849</v>
      </c>
      <c r="AB967" s="412"/>
      <c r="AC967" s="412"/>
    </row>
    <row r="968" spans="1:29" ht="39.950000000000003" customHeight="1">
      <c r="A968" s="80">
        <v>973</v>
      </c>
      <c r="B968" s="82">
        <v>45238</v>
      </c>
      <c r="C968" s="411">
        <v>0.38194444444444442</v>
      </c>
      <c r="D968" s="83" t="s">
        <v>3955</v>
      </c>
      <c r="E968" s="84" t="s">
        <v>4138</v>
      </c>
      <c r="F968" s="80">
        <v>3</v>
      </c>
      <c r="G968" s="80" t="s">
        <v>1442</v>
      </c>
      <c r="H968" s="82">
        <v>45259</v>
      </c>
      <c r="I968" s="85" t="s">
        <v>1086</v>
      </c>
      <c r="J968" s="82" t="s">
        <v>33</v>
      </c>
      <c r="K968" s="80">
        <f>IFERROR(VLOOKUP(J968,Jueces!$A$1:$B$11,2,FALSE),"")</f>
        <v>4</v>
      </c>
      <c r="L968" s="83" t="s">
        <v>791</v>
      </c>
      <c r="M968" s="83" t="s">
        <v>3813</v>
      </c>
      <c r="N968" s="80"/>
      <c r="O968" s="83" t="str">
        <f t="shared" ca="1" si="54"/>
        <v>NO</v>
      </c>
      <c r="P968" s="83" t="str">
        <f t="shared" si="56"/>
        <v>DIANOSOL</v>
      </c>
      <c r="Q968" s="83" t="s">
        <v>951</v>
      </c>
      <c r="R968" s="83" t="str">
        <f>VLOOKUP($Q968,Resultados!$A$1:$B$49,2,FALSE)</f>
        <v xml:space="preserve"> _</v>
      </c>
      <c r="S968" s="83"/>
      <c r="T968" s="86" t="str">
        <f t="shared" si="55"/>
        <v>NO</v>
      </c>
      <c r="U968" s="86"/>
      <c r="V968" s="80"/>
      <c r="W968" s="80"/>
      <c r="X968" s="80"/>
      <c r="Y968" s="80"/>
      <c r="Z968" s="80"/>
      <c r="AA968" s="325" t="s">
        <v>2849</v>
      </c>
      <c r="AB968" s="80"/>
      <c r="AC968" s="80"/>
    </row>
    <row r="969" spans="1:29" ht="39.950000000000003" customHeight="1">
      <c r="A969" s="80">
        <v>1012</v>
      </c>
      <c r="B969" s="82">
        <v>45240</v>
      </c>
      <c r="C969" s="411">
        <v>0.46180555555555558</v>
      </c>
      <c r="D969" s="83" t="s">
        <v>4095</v>
      </c>
      <c r="E969" s="84" t="s">
        <v>4096</v>
      </c>
      <c r="F969" s="80">
        <v>3</v>
      </c>
      <c r="G969" s="80" t="s">
        <v>2835</v>
      </c>
      <c r="H969" s="82">
        <v>45259</v>
      </c>
      <c r="I969" s="85" t="s">
        <v>1086</v>
      </c>
      <c r="J969" s="82" t="s">
        <v>35</v>
      </c>
      <c r="K969" s="80">
        <f>IFERROR(VLOOKUP(J969,Jueces!$A$1:$B$11,2,FALSE),"")</f>
        <v>3</v>
      </c>
      <c r="L969" s="83" t="s">
        <v>569</v>
      </c>
      <c r="M969" s="81" t="s">
        <v>3425</v>
      </c>
      <c r="N969" s="83"/>
      <c r="O969" s="83" t="str">
        <f t="shared" ca="1" si="54"/>
        <v>NO</v>
      </c>
      <c r="P969" s="83" t="str">
        <f t="shared" si="56"/>
        <v>DIANOSOL</v>
      </c>
      <c r="Q969" s="83" t="s">
        <v>951</v>
      </c>
      <c r="R969" s="83" t="str">
        <f>VLOOKUP($Q969,Resultados!$A$1:$B$49,2,FALSE)</f>
        <v xml:space="preserve"> _</v>
      </c>
      <c r="S969" s="83"/>
      <c r="T969" s="86" t="str">
        <f t="shared" si="55"/>
        <v>NO</v>
      </c>
      <c r="U969" s="86"/>
      <c r="V969" s="80"/>
      <c r="W969" s="80"/>
      <c r="X969" s="80"/>
      <c r="Y969" s="80"/>
      <c r="Z969" s="80"/>
      <c r="AA969" s="80"/>
      <c r="AB969" s="80"/>
      <c r="AC969" s="80"/>
    </row>
    <row r="970" spans="1:29" ht="39.950000000000003" customHeight="1">
      <c r="A970" s="83">
        <v>959</v>
      </c>
      <c r="B970" s="85">
        <v>45236</v>
      </c>
      <c r="C970" s="327">
        <v>0.52638888888888891</v>
      </c>
      <c r="D970" s="83" t="s">
        <v>3908</v>
      </c>
      <c r="E970" s="84" t="s">
        <v>3909</v>
      </c>
      <c r="F970" s="83">
        <v>4</v>
      </c>
      <c r="G970" s="83" t="s">
        <v>3362</v>
      </c>
      <c r="H970" s="85">
        <v>45259</v>
      </c>
      <c r="I970" s="85" t="s">
        <v>1209</v>
      </c>
      <c r="J970" s="85" t="s">
        <v>78</v>
      </c>
      <c r="K970" s="83">
        <f>IFERROR(VLOOKUP(J970,Jueces!$A$1:$B$11,2,FALSE),"")</f>
        <v>8</v>
      </c>
      <c r="L970" s="83" t="s">
        <v>799</v>
      </c>
      <c r="M970" s="83" t="s">
        <v>3813</v>
      </c>
      <c r="N970" s="83"/>
      <c r="O970" s="83" t="str">
        <f t="shared" ca="1" si="54"/>
        <v>NO</v>
      </c>
      <c r="P970" s="83" t="str">
        <f t="shared" si="56"/>
        <v>DIANOSOL</v>
      </c>
      <c r="Q970" s="83" t="s">
        <v>951</v>
      </c>
      <c r="R970" s="83" t="str">
        <f>VLOOKUP($Q970,Resultados!$A$1:$B$49,2,FALSE)</f>
        <v xml:space="preserve"> _</v>
      </c>
      <c r="S970" s="83"/>
      <c r="T970" s="86" t="str">
        <f t="shared" si="55"/>
        <v>NO</v>
      </c>
      <c r="U970" s="86"/>
      <c r="V970" s="83"/>
      <c r="W970" s="83"/>
      <c r="X970" s="83"/>
      <c r="Y970" s="83"/>
      <c r="Z970" s="83"/>
      <c r="AA970" s="325" t="s">
        <v>2892</v>
      </c>
      <c r="AB970" s="83"/>
      <c r="AC970" s="80"/>
    </row>
    <row r="971" spans="1:29" ht="39.950000000000003" customHeight="1">
      <c r="A971" s="83">
        <v>962</v>
      </c>
      <c r="B971" s="85">
        <v>45237</v>
      </c>
      <c r="C971" s="327">
        <v>0.33333333333333331</v>
      </c>
      <c r="D971" s="83" t="s">
        <v>3913</v>
      </c>
      <c r="E971" s="84" t="s">
        <v>3914</v>
      </c>
      <c r="F971" s="83">
        <v>4</v>
      </c>
      <c r="G971" s="83" t="s">
        <v>2771</v>
      </c>
      <c r="H971" s="85">
        <v>45259</v>
      </c>
      <c r="I971" s="85" t="s">
        <v>3209</v>
      </c>
      <c r="J971" s="85" t="s">
        <v>2948</v>
      </c>
      <c r="K971" s="83" t="s">
        <v>3838</v>
      </c>
      <c r="L971" s="83" t="s">
        <v>806</v>
      </c>
      <c r="M971" s="83" t="s">
        <v>1874</v>
      </c>
      <c r="N971" s="83"/>
      <c r="O971" s="83" t="str">
        <f t="shared" ca="1" si="54"/>
        <v>NO</v>
      </c>
      <c r="P971" s="83" t="str">
        <f t="shared" si="56"/>
        <v>DIANOSOL</v>
      </c>
      <c r="Q971" s="83" t="s">
        <v>951</v>
      </c>
      <c r="R971" s="83" t="str">
        <f>VLOOKUP($Q971,Resultados!$A$1:$B$49,2,FALSE)</f>
        <v xml:space="preserve"> _</v>
      </c>
      <c r="S971" s="83"/>
      <c r="T971" s="86" t="str">
        <f t="shared" si="55"/>
        <v>NO</v>
      </c>
      <c r="U971" s="86"/>
      <c r="V971" s="83"/>
      <c r="W971" s="83"/>
      <c r="X971" s="83"/>
      <c r="Y971" s="83"/>
      <c r="Z971" s="83"/>
      <c r="AA971" s="325" t="s">
        <v>2892</v>
      </c>
      <c r="AB971" s="83"/>
      <c r="AC971" s="80"/>
    </row>
    <row r="972" spans="1:29" ht="39.950000000000003" customHeight="1">
      <c r="A972" s="80">
        <v>1013</v>
      </c>
      <c r="B972" s="82"/>
      <c r="C972" s="80"/>
      <c r="D972" s="362" t="s">
        <v>2716</v>
      </c>
      <c r="E972" s="84" t="s">
        <v>4099</v>
      </c>
      <c r="F972" s="80">
        <v>7</v>
      </c>
      <c r="G972" s="83" t="s">
        <v>43</v>
      </c>
      <c r="H972" s="82">
        <v>45260</v>
      </c>
      <c r="I972" s="85" t="s">
        <v>73</v>
      </c>
      <c r="J972" s="82" t="s">
        <v>1219</v>
      </c>
      <c r="K972" s="80">
        <f>IFERROR(VLOOKUP(J972,Jueces!$A$1:$B$11,2,FALSE),"")</f>
        <v>1</v>
      </c>
      <c r="L972" s="83" t="s">
        <v>582</v>
      </c>
      <c r="M972" s="387" t="s">
        <v>2284</v>
      </c>
      <c r="N972" s="80"/>
      <c r="O972" s="83" t="str">
        <f t="shared" ca="1" si="54"/>
        <v>NO</v>
      </c>
      <c r="P972" s="83" t="str">
        <f t="shared" si="56"/>
        <v>DIANOSOL</v>
      </c>
      <c r="Q972" s="83" t="s">
        <v>951</v>
      </c>
      <c r="R972" s="83" t="str">
        <f>VLOOKUP($Q972,Resultados!$A$1:$B$49,2,FALSE)</f>
        <v xml:space="preserve"> _</v>
      </c>
      <c r="S972" s="83"/>
      <c r="T972" s="86" t="str">
        <f t="shared" si="55"/>
        <v>NO</v>
      </c>
      <c r="U972" s="86"/>
      <c r="V972" s="80"/>
      <c r="W972" s="80"/>
      <c r="X972" s="80"/>
      <c r="Y972" s="80"/>
      <c r="Z972" s="80"/>
      <c r="AA972" s="80"/>
      <c r="AB972" s="80"/>
      <c r="AC972" s="80" t="s">
        <v>1799</v>
      </c>
    </row>
    <row r="973" spans="1:29" ht="39.950000000000003" customHeight="1">
      <c r="A973" s="80">
        <v>993</v>
      </c>
      <c r="B973" s="82">
        <v>45240</v>
      </c>
      <c r="C973" s="411">
        <v>0.35486111111111113</v>
      </c>
      <c r="D973" s="83" t="s">
        <v>4026</v>
      </c>
      <c r="E973" s="84" t="s">
        <v>4027</v>
      </c>
      <c r="F973" s="80">
        <v>3</v>
      </c>
      <c r="G973" s="80" t="s">
        <v>3362</v>
      </c>
      <c r="H973" s="82">
        <v>45260</v>
      </c>
      <c r="I973" s="85" t="s">
        <v>73</v>
      </c>
      <c r="J973" s="82" t="s">
        <v>31</v>
      </c>
      <c r="K973" s="80">
        <f>IFERROR(VLOOKUP(J973,Jueces!$A$1:$B$11,2,FALSE),"")</f>
        <v>2</v>
      </c>
      <c r="L973" s="83" t="s">
        <v>812</v>
      </c>
      <c r="M973" s="424" t="s">
        <v>4057</v>
      </c>
      <c r="N973" s="83" t="s">
        <v>4058</v>
      </c>
      <c r="O973" s="83" t="str">
        <f t="shared" ca="1" si="54"/>
        <v>NO</v>
      </c>
      <c r="P973" s="83" t="str">
        <f t="shared" si="56"/>
        <v>DIANOSOL</v>
      </c>
      <c r="Q973" s="83" t="s">
        <v>951</v>
      </c>
      <c r="R973" s="83" t="str">
        <f>VLOOKUP($Q973,Resultados!$A$1:$B$49,2,FALSE)</f>
        <v xml:space="preserve"> _</v>
      </c>
      <c r="S973" s="83"/>
      <c r="T973" s="86" t="str">
        <f t="shared" si="55"/>
        <v>NO</v>
      </c>
      <c r="U973" s="86"/>
      <c r="V973" s="80"/>
      <c r="W973" s="80"/>
      <c r="X973" s="80"/>
      <c r="Y973" s="80"/>
      <c r="Z973" s="80"/>
      <c r="AA973" s="83" t="s">
        <v>1168</v>
      </c>
      <c r="AB973" s="80"/>
      <c r="AC973" s="80"/>
    </row>
    <row r="974" spans="1:29" ht="39.950000000000003" customHeight="1">
      <c r="A974" s="80">
        <v>983</v>
      </c>
      <c r="B974" s="82">
        <v>45239</v>
      </c>
      <c r="C974" s="411">
        <v>0.40763888888888888</v>
      </c>
      <c r="D974" s="83" t="s">
        <v>3995</v>
      </c>
      <c r="E974" s="84" t="s">
        <v>3996</v>
      </c>
      <c r="F974" s="80">
        <v>1</v>
      </c>
      <c r="G974" s="80" t="s">
        <v>283</v>
      </c>
      <c r="H974" s="82">
        <v>45260</v>
      </c>
      <c r="I974" s="85" t="s">
        <v>73</v>
      </c>
      <c r="J974" s="82" t="s">
        <v>33</v>
      </c>
      <c r="K974" s="80">
        <f>IFERROR(VLOOKUP(J974,Jueces!$A$1:$B$11,2,FALSE),"")</f>
        <v>4</v>
      </c>
      <c r="L974" s="83" t="s">
        <v>1070</v>
      </c>
      <c r="M974" s="369" t="s">
        <v>3425</v>
      </c>
      <c r="N974" s="80"/>
      <c r="O974" s="83" t="str">
        <f t="shared" ref="O974:O1037" ca="1" si="57">IF(H974&lt;&gt;"",IF(H974&lt;=TODAY(),"SI","NO"),"LIMBO")</f>
        <v>NO</v>
      </c>
      <c r="P974" s="83" t="str">
        <f t="shared" si="56"/>
        <v>DIANOSOL</v>
      </c>
      <c r="Q974" s="83" t="s">
        <v>951</v>
      </c>
      <c r="R974" s="83" t="str">
        <f>VLOOKUP($Q974,Resultados!$A$1:$B$49,2,FALSE)</f>
        <v xml:space="preserve"> _</v>
      </c>
      <c r="S974" s="83"/>
      <c r="T974" s="86" t="str">
        <f t="shared" si="55"/>
        <v>NO</v>
      </c>
      <c r="U974" s="86"/>
      <c r="V974" s="80"/>
      <c r="W974" s="80"/>
      <c r="X974" s="80"/>
      <c r="Y974" s="80"/>
      <c r="Z974" s="80"/>
      <c r="AA974" s="80"/>
      <c r="AB974" s="80"/>
      <c r="AC974" s="80"/>
    </row>
    <row r="975" spans="1:29" ht="39.950000000000003" customHeight="1">
      <c r="A975" s="80">
        <v>992</v>
      </c>
      <c r="B975" s="82">
        <v>45240</v>
      </c>
      <c r="C975" s="411">
        <v>0.3576388888888889</v>
      </c>
      <c r="D975" s="83" t="s">
        <v>4025</v>
      </c>
      <c r="E975" s="84" t="s">
        <v>4068</v>
      </c>
      <c r="F975" s="80">
        <v>4</v>
      </c>
      <c r="G975" s="80" t="s">
        <v>2785</v>
      </c>
      <c r="H975" s="82">
        <v>45260</v>
      </c>
      <c r="I975" s="85" t="s">
        <v>73</v>
      </c>
      <c r="J975" s="82" t="s">
        <v>78</v>
      </c>
      <c r="K975" s="80">
        <f>IFERROR(VLOOKUP(J975,Jueces!$A$1:$B$11,2,FALSE),"")</f>
        <v>8</v>
      </c>
      <c r="L975" s="83" t="s">
        <v>809</v>
      </c>
      <c r="M975" s="83" t="s">
        <v>1874</v>
      </c>
      <c r="N975" s="80"/>
      <c r="O975" s="83" t="str">
        <f t="shared" ca="1" si="57"/>
        <v>NO</v>
      </c>
      <c r="P975" s="83" t="str">
        <f t="shared" si="56"/>
        <v>DIANOSOL</v>
      </c>
      <c r="Q975" s="83" t="s">
        <v>951</v>
      </c>
      <c r="R975" s="83" t="str">
        <f>VLOOKUP($Q975,Resultados!$A$1:$B$49,2,FALSE)</f>
        <v xml:space="preserve"> _</v>
      </c>
      <c r="S975" s="83"/>
      <c r="T975" s="86" t="str">
        <f t="shared" si="55"/>
        <v>NO</v>
      </c>
      <c r="U975" s="86"/>
      <c r="V975" s="80"/>
      <c r="W975" s="80"/>
      <c r="X975" s="80"/>
      <c r="Y975" s="80"/>
      <c r="Z975" s="80"/>
      <c r="AA975" s="80"/>
      <c r="AB975" s="80"/>
      <c r="AC975" s="80"/>
    </row>
    <row r="976" spans="1:29" ht="39.950000000000003" customHeight="1">
      <c r="A976" s="366">
        <v>994</v>
      </c>
      <c r="B976" s="434">
        <v>45240</v>
      </c>
      <c r="C976" s="435">
        <v>0.36874999999999997</v>
      </c>
      <c r="D976" s="214" t="s">
        <v>4028</v>
      </c>
      <c r="E976" s="215" t="s">
        <v>4029</v>
      </c>
      <c r="F976" s="366">
        <v>3</v>
      </c>
      <c r="G976" s="366" t="s">
        <v>2835</v>
      </c>
      <c r="H976" s="434">
        <v>45260</v>
      </c>
      <c r="I976" s="322" t="s">
        <v>73</v>
      </c>
      <c r="J976" s="434" t="s">
        <v>1220</v>
      </c>
      <c r="K976" s="366">
        <f>IFERROR(VLOOKUP(J976,Jueces!$A$1:$B$11,2,FALSE),"")</f>
        <v>7</v>
      </c>
      <c r="L976" s="214" t="s">
        <v>800</v>
      </c>
      <c r="M976" s="214" t="s">
        <v>695</v>
      </c>
      <c r="N976" s="437" t="s">
        <v>4178</v>
      </c>
      <c r="O976" s="214" t="str">
        <f t="shared" ca="1" si="57"/>
        <v>NO</v>
      </c>
      <c r="P976" s="214" t="str">
        <f t="shared" si="56"/>
        <v>DIANOSOL</v>
      </c>
      <c r="Q976" s="214" t="s">
        <v>951</v>
      </c>
      <c r="R976" s="214" t="str">
        <f>VLOOKUP($Q976,Resultados!$A$1:$B$49,2,FALSE)</f>
        <v xml:space="preserve"> _</v>
      </c>
      <c r="S976" s="214"/>
      <c r="T976" s="281" t="str">
        <f t="shared" si="55"/>
        <v>NO</v>
      </c>
      <c r="U976" s="281"/>
      <c r="V976" s="366"/>
      <c r="W976" s="366"/>
      <c r="X976" s="366"/>
      <c r="Y976" s="366"/>
      <c r="Z976" s="366"/>
      <c r="AA976" s="366"/>
      <c r="AB976" s="366"/>
      <c r="AC976" s="366"/>
    </row>
    <row r="977" spans="1:29" ht="39.950000000000003" customHeight="1">
      <c r="A977" s="80">
        <v>986</v>
      </c>
      <c r="B977" s="82">
        <v>45239</v>
      </c>
      <c r="C977" s="411">
        <v>0.46875</v>
      </c>
      <c r="D977" s="83" t="s">
        <v>4002</v>
      </c>
      <c r="E977" s="84" t="s">
        <v>4003</v>
      </c>
      <c r="F977" s="80">
        <v>4</v>
      </c>
      <c r="G977" s="80" t="s">
        <v>1442</v>
      </c>
      <c r="H977" s="82">
        <v>45260</v>
      </c>
      <c r="I977" s="85" t="s">
        <v>1086</v>
      </c>
      <c r="J977" s="82" t="s">
        <v>1224</v>
      </c>
      <c r="K977" s="80">
        <f>IFERROR(VLOOKUP(J977,Jueces!$A$1:$B$11,2,FALSE),"")</f>
        <v>6</v>
      </c>
      <c r="L977" s="83" t="s">
        <v>812</v>
      </c>
      <c r="M977" s="83" t="s">
        <v>1874</v>
      </c>
      <c r="N977" s="80"/>
      <c r="O977" s="83" t="str">
        <f t="shared" ca="1" si="57"/>
        <v>NO</v>
      </c>
      <c r="P977" s="83" t="str">
        <f t="shared" si="56"/>
        <v>DIANOSOL</v>
      </c>
      <c r="Q977" s="83" t="s">
        <v>951</v>
      </c>
      <c r="R977" s="83" t="str">
        <f>VLOOKUP($Q977,Resultados!$A$1:$B$49,2,FALSE)</f>
        <v xml:space="preserve"> _</v>
      </c>
      <c r="S977" s="83"/>
      <c r="T977" s="86" t="str">
        <f t="shared" si="55"/>
        <v>NO</v>
      </c>
      <c r="U977" s="86"/>
      <c r="V977" s="80"/>
      <c r="W977" s="80"/>
      <c r="X977" s="80"/>
      <c r="Y977" s="80"/>
      <c r="Z977" s="80"/>
      <c r="AA977" s="80"/>
      <c r="AB977" s="80"/>
      <c r="AC977" s="80"/>
    </row>
    <row r="978" spans="1:29" ht="39.950000000000003" customHeight="1">
      <c r="A978" s="80">
        <v>1000</v>
      </c>
      <c r="B978" s="82">
        <v>45240</v>
      </c>
      <c r="C978" s="411">
        <v>0.4458333333333333</v>
      </c>
      <c r="D978" s="83" t="s">
        <v>4041</v>
      </c>
      <c r="E978" s="84" t="s">
        <v>4042</v>
      </c>
      <c r="F978" s="80">
        <v>3</v>
      </c>
      <c r="G978" s="80" t="s">
        <v>1440</v>
      </c>
      <c r="H978" s="82">
        <v>45260</v>
      </c>
      <c r="I978" s="85" t="s">
        <v>1086</v>
      </c>
      <c r="J978" s="82" t="s">
        <v>1220</v>
      </c>
      <c r="K978" s="80">
        <f>IFERROR(VLOOKUP(J978,Jueces!$A$1:$B$11,2,FALSE),"")</f>
        <v>7</v>
      </c>
      <c r="L978" s="83" t="s">
        <v>806</v>
      </c>
      <c r="M978" s="81" t="s">
        <v>694</v>
      </c>
      <c r="N978" s="80"/>
      <c r="O978" s="83" t="str">
        <f t="shared" ca="1" si="57"/>
        <v>NO</v>
      </c>
      <c r="P978" s="83" t="str">
        <f t="shared" si="56"/>
        <v>DIANOSOL</v>
      </c>
      <c r="Q978" s="83" t="s">
        <v>951</v>
      </c>
      <c r="R978" s="83" t="str">
        <f>VLOOKUP($Q978,Resultados!$A$1:$B$49,2,FALSE)</f>
        <v xml:space="preserve"> _</v>
      </c>
      <c r="S978" s="83"/>
      <c r="T978" s="86" t="str">
        <f t="shared" si="55"/>
        <v>SI</v>
      </c>
      <c r="U978" s="86"/>
      <c r="V978" s="80"/>
      <c r="W978" s="80"/>
      <c r="X978" s="80"/>
      <c r="Y978" s="80"/>
      <c r="Z978" s="80"/>
      <c r="AA978" s="80"/>
      <c r="AB978" s="80"/>
      <c r="AC978" s="80"/>
    </row>
    <row r="979" spans="1:29" ht="39.950000000000003" customHeight="1">
      <c r="A979" s="80">
        <v>981</v>
      </c>
      <c r="B979" s="82">
        <v>45239</v>
      </c>
      <c r="C979" s="411">
        <v>0.36874999999999997</v>
      </c>
      <c r="D979" s="83" t="s">
        <v>3993</v>
      </c>
      <c r="E979" s="84" t="s">
        <v>4062</v>
      </c>
      <c r="F979" s="80">
        <v>4</v>
      </c>
      <c r="G979" s="80" t="s">
        <v>3363</v>
      </c>
      <c r="H979" s="82">
        <v>45261</v>
      </c>
      <c r="I979" s="85" t="s">
        <v>73</v>
      </c>
      <c r="J979" s="82" t="s">
        <v>2951</v>
      </c>
      <c r="K979" s="83" t="s">
        <v>4149</v>
      </c>
      <c r="L979" s="83" t="s">
        <v>809</v>
      </c>
      <c r="M979" s="83" t="s">
        <v>1874</v>
      </c>
      <c r="N979" s="80"/>
      <c r="O979" s="83" t="str">
        <f t="shared" ca="1" si="57"/>
        <v>NO</v>
      </c>
      <c r="P979" s="83" t="str">
        <f t="shared" si="56"/>
        <v>DIANOSOL</v>
      </c>
      <c r="Q979" s="83" t="s">
        <v>951</v>
      </c>
      <c r="R979" s="83" t="str">
        <f>VLOOKUP($Q979,Resultados!$A$1:$B$49,2,FALSE)</f>
        <v xml:space="preserve"> _</v>
      </c>
      <c r="S979" s="83"/>
      <c r="T979" s="86" t="str">
        <f t="shared" si="55"/>
        <v>NO</v>
      </c>
      <c r="U979" s="86"/>
      <c r="V979" s="80"/>
      <c r="W979" s="80"/>
      <c r="X979" s="80"/>
      <c r="Y979" s="80"/>
      <c r="Z979" s="80"/>
      <c r="AA979" s="80"/>
      <c r="AB979" s="80"/>
      <c r="AC979" s="80"/>
    </row>
    <row r="980" spans="1:29" ht="39.950000000000003" customHeight="1">
      <c r="A980" s="80">
        <v>985</v>
      </c>
      <c r="B980" s="82">
        <v>45239</v>
      </c>
      <c r="C980" s="411">
        <v>0.47291666666666665</v>
      </c>
      <c r="D980" s="83" t="s">
        <v>4000</v>
      </c>
      <c r="E980" s="84" t="s">
        <v>4001</v>
      </c>
      <c r="F980" s="80">
        <v>3</v>
      </c>
      <c r="G980" s="80" t="s">
        <v>283</v>
      </c>
      <c r="H980" s="82">
        <v>45261</v>
      </c>
      <c r="I980" s="85" t="s">
        <v>73</v>
      </c>
      <c r="J980" s="82" t="s">
        <v>2948</v>
      </c>
      <c r="K980" s="83" t="s">
        <v>3835</v>
      </c>
      <c r="L980" s="83" t="s">
        <v>810</v>
      </c>
      <c r="M980" s="81" t="s">
        <v>695</v>
      </c>
      <c r="N980" s="80"/>
      <c r="O980" s="83" t="str">
        <f t="shared" ca="1" si="57"/>
        <v>NO</v>
      </c>
      <c r="P980" s="83" t="str">
        <f t="shared" si="56"/>
        <v>DIANOSOL</v>
      </c>
      <c r="Q980" s="83" t="s">
        <v>951</v>
      </c>
      <c r="R980" s="83" t="str">
        <f>VLOOKUP($Q980,Resultados!$A$1:$B$49,2,FALSE)</f>
        <v xml:space="preserve"> _</v>
      </c>
      <c r="S980" s="83"/>
      <c r="T980" s="86" t="str">
        <f t="shared" si="55"/>
        <v>NO</v>
      </c>
      <c r="U980" s="86"/>
      <c r="V980" s="80"/>
      <c r="W980" s="80"/>
      <c r="X980" s="80"/>
      <c r="Y980" s="80"/>
      <c r="Z980" s="80"/>
      <c r="AA980" s="80"/>
      <c r="AB980" s="80"/>
      <c r="AC980" s="80"/>
    </row>
    <row r="981" spans="1:29" ht="39.950000000000003" customHeight="1">
      <c r="A981" s="80">
        <v>996</v>
      </c>
      <c r="B981" s="82">
        <v>45240</v>
      </c>
      <c r="C981" s="83" t="s">
        <v>4031</v>
      </c>
      <c r="D981" s="83" t="s">
        <v>2845</v>
      </c>
      <c r="E981" s="84" t="s">
        <v>4032</v>
      </c>
      <c r="F981" s="80">
        <v>8</v>
      </c>
      <c r="G981" s="80" t="s">
        <v>568</v>
      </c>
      <c r="H981" s="82">
        <v>45261</v>
      </c>
      <c r="I981" s="85" t="s">
        <v>73</v>
      </c>
      <c r="J981" s="82" t="s">
        <v>33</v>
      </c>
      <c r="K981" s="80">
        <f>IFERROR(VLOOKUP(J981,Jueces!$A$1:$B$11,2,FALSE),"")</f>
        <v>4</v>
      </c>
      <c r="L981" s="83" t="s">
        <v>800</v>
      </c>
      <c r="M981" s="425" t="s">
        <v>1087</v>
      </c>
      <c r="N981" s="80" t="s">
        <v>4071</v>
      </c>
      <c r="O981" s="83" t="str">
        <f t="shared" ca="1" si="57"/>
        <v>NO</v>
      </c>
      <c r="P981" s="83" t="str">
        <f t="shared" si="56"/>
        <v>DIANOSOL</v>
      </c>
      <c r="Q981" s="83" t="s">
        <v>951</v>
      </c>
      <c r="R981" s="83" t="str">
        <f>VLOOKUP($Q981,Resultados!$A$1:$B$49,2,FALSE)</f>
        <v xml:space="preserve"> _</v>
      </c>
      <c r="S981" s="83"/>
      <c r="T981" s="86" t="str">
        <f t="shared" ref="T981:T1040" si="58">IF(G981=$J$1,"SI","NO")</f>
        <v>NO</v>
      </c>
      <c r="U981" s="86"/>
      <c r="V981" s="80"/>
      <c r="W981" s="80"/>
      <c r="X981" s="80"/>
      <c r="Y981" s="80"/>
      <c r="Z981" s="80"/>
      <c r="AA981" s="80"/>
      <c r="AB981" s="80"/>
      <c r="AC981" s="80"/>
    </row>
    <row r="982" spans="1:29" ht="39.950000000000003" customHeight="1">
      <c r="A982" s="80">
        <v>1006</v>
      </c>
      <c r="B982" s="82">
        <v>45240</v>
      </c>
      <c r="C982" s="411">
        <v>0.39513888888888887</v>
      </c>
      <c r="D982" s="83" t="s">
        <v>4059</v>
      </c>
      <c r="E982" s="84" t="s">
        <v>4060</v>
      </c>
      <c r="F982" s="80">
        <v>5</v>
      </c>
      <c r="G982" s="80" t="s">
        <v>1441</v>
      </c>
      <c r="H982" s="82">
        <v>45261</v>
      </c>
      <c r="I982" s="85" t="s">
        <v>73</v>
      </c>
      <c r="J982" s="82" t="s">
        <v>35</v>
      </c>
      <c r="K982" s="80">
        <f>IFERROR(VLOOKUP(J982,Jueces!$A$1:$B$11,2,FALSE),"")</f>
        <v>3</v>
      </c>
      <c r="L982" s="83" t="s">
        <v>582</v>
      </c>
      <c r="M982" s="426" t="s">
        <v>2140</v>
      </c>
      <c r="N982" s="83" t="s">
        <v>4061</v>
      </c>
      <c r="O982" s="83" t="str">
        <f t="shared" ca="1" si="57"/>
        <v>NO</v>
      </c>
      <c r="P982" s="83" t="str">
        <f t="shared" si="56"/>
        <v>DIANOSOL</v>
      </c>
      <c r="Q982" s="83" t="s">
        <v>951</v>
      </c>
      <c r="R982" s="83" t="str">
        <f>VLOOKUP($Q982,Resultados!$A$1:$B$49,2,FALSE)</f>
        <v xml:space="preserve"> _</v>
      </c>
      <c r="S982" s="83"/>
      <c r="T982" s="86" t="str">
        <f t="shared" si="58"/>
        <v>NO</v>
      </c>
      <c r="U982" s="86"/>
      <c r="V982" s="80"/>
      <c r="W982" s="80"/>
      <c r="X982" s="80"/>
      <c r="Y982" s="80"/>
      <c r="Z982" s="80"/>
      <c r="AA982" s="80"/>
      <c r="AB982" s="80"/>
      <c r="AC982" s="80"/>
    </row>
    <row r="983" spans="1:29" ht="39.950000000000003" customHeight="1">
      <c r="A983" s="80">
        <v>984</v>
      </c>
      <c r="B983" s="82">
        <v>45239</v>
      </c>
      <c r="C983" s="411">
        <v>0.4770833333333333</v>
      </c>
      <c r="D983" s="83" t="s">
        <v>3998</v>
      </c>
      <c r="E983" s="84" t="s">
        <v>3999</v>
      </c>
      <c r="F983" s="80">
        <v>3</v>
      </c>
      <c r="G983" s="80" t="s">
        <v>1440</v>
      </c>
      <c r="H983" s="82">
        <v>45261</v>
      </c>
      <c r="I983" s="85" t="s">
        <v>1086</v>
      </c>
      <c r="J983" s="82" t="s">
        <v>31</v>
      </c>
      <c r="K983" s="80">
        <f>IFERROR(VLOOKUP(J983,Jueces!$A$1:$B$11,2,FALSE),"")</f>
        <v>2</v>
      </c>
      <c r="L983" s="83" t="s">
        <v>809</v>
      </c>
      <c r="M983" s="423" t="s">
        <v>3425</v>
      </c>
      <c r="N983" s="80"/>
      <c r="O983" s="83" t="str">
        <f t="shared" ca="1" si="57"/>
        <v>NO</v>
      </c>
      <c r="P983" s="83" t="str">
        <f t="shared" si="56"/>
        <v>DIANOSOL</v>
      </c>
      <c r="Q983" s="83" t="s">
        <v>951</v>
      </c>
      <c r="R983" s="83" t="str">
        <f>VLOOKUP($Q983,Resultados!$A$1:$B$49,2,FALSE)</f>
        <v xml:space="preserve"> _</v>
      </c>
      <c r="S983" s="83"/>
      <c r="T983" s="86" t="str">
        <f t="shared" si="58"/>
        <v>SI</v>
      </c>
      <c r="U983" s="86"/>
      <c r="V983" s="80"/>
      <c r="W983" s="80"/>
      <c r="X983" s="80"/>
      <c r="Y983" s="80"/>
      <c r="Z983" s="80"/>
      <c r="AA983" s="80"/>
      <c r="AB983" s="80"/>
      <c r="AC983" s="80"/>
    </row>
    <row r="984" spans="1:29" ht="39.950000000000003" customHeight="1">
      <c r="A984" s="80">
        <v>995</v>
      </c>
      <c r="B984" s="82">
        <v>45240</v>
      </c>
      <c r="C984" s="411">
        <v>0.37152777777777773</v>
      </c>
      <c r="D984" s="83" t="s">
        <v>4030</v>
      </c>
      <c r="E984" s="84" t="s">
        <v>4052</v>
      </c>
      <c r="F984" s="80">
        <v>3</v>
      </c>
      <c r="G984" s="80" t="s">
        <v>2785</v>
      </c>
      <c r="H984" s="82">
        <v>45261</v>
      </c>
      <c r="I984" s="85" t="s">
        <v>1086</v>
      </c>
      <c r="J984" s="82" t="s">
        <v>1219</v>
      </c>
      <c r="K984" s="80">
        <f>IFERROR(VLOOKUP(J984,Jueces!$A$1:$B$11,2,FALSE),"")</f>
        <v>1</v>
      </c>
      <c r="L984" s="83" t="s">
        <v>813</v>
      </c>
      <c r="M984" s="83" t="s">
        <v>695</v>
      </c>
      <c r="N984" s="369"/>
      <c r="O984" s="83" t="str">
        <f t="shared" ca="1" si="57"/>
        <v>NO</v>
      </c>
      <c r="P984" s="83" t="str">
        <f t="shared" si="56"/>
        <v>DIANOSOL</v>
      </c>
      <c r="Q984" s="83" t="s">
        <v>951</v>
      </c>
      <c r="R984" s="83" t="str">
        <f>VLOOKUP($Q984,Resultados!$A$1:$B$49,2,FALSE)</f>
        <v xml:space="preserve"> _</v>
      </c>
      <c r="S984" s="83"/>
      <c r="T984" s="86" t="str">
        <f t="shared" si="58"/>
        <v>NO</v>
      </c>
      <c r="U984" s="86"/>
      <c r="V984" s="80"/>
      <c r="W984" s="80"/>
      <c r="X984" s="80"/>
      <c r="Y984" s="80"/>
      <c r="Z984" s="80"/>
      <c r="AA984" s="80"/>
      <c r="AB984" s="80"/>
      <c r="AC984" s="80"/>
    </row>
    <row r="985" spans="1:29" ht="39.950000000000003" customHeight="1">
      <c r="A985" s="80">
        <v>1005</v>
      </c>
      <c r="B985" s="82">
        <v>45240</v>
      </c>
      <c r="C985" s="80"/>
      <c r="D985" s="83" t="s">
        <v>4053</v>
      </c>
      <c r="E985" s="84" t="s">
        <v>4054</v>
      </c>
      <c r="F985" s="80">
        <v>4</v>
      </c>
      <c r="G985" s="80" t="s">
        <v>2835</v>
      </c>
      <c r="H985" s="82">
        <v>45261</v>
      </c>
      <c r="I985" s="85" t="s">
        <v>1086</v>
      </c>
      <c r="J985" s="82" t="s">
        <v>1220</v>
      </c>
      <c r="K985" s="80">
        <f>IFERROR(VLOOKUP(J985,Jueces!$A$1:$B$11,2,FALSE),"")</f>
        <v>7</v>
      </c>
      <c r="L985" s="83" t="s">
        <v>802</v>
      </c>
      <c r="M985" s="403" t="s">
        <v>1874</v>
      </c>
      <c r="N985" s="80"/>
      <c r="O985" s="83" t="str">
        <f t="shared" ca="1" si="57"/>
        <v>NO</v>
      </c>
      <c r="P985" s="83" t="str">
        <f t="shared" si="56"/>
        <v>DIANOSOL</v>
      </c>
      <c r="Q985" s="83" t="s">
        <v>951</v>
      </c>
      <c r="R985" s="83" t="str">
        <f>VLOOKUP($Q985,Resultados!$A$1:$B$49,2,FALSE)</f>
        <v xml:space="preserve"> _</v>
      </c>
      <c r="S985" s="83"/>
      <c r="T985" s="86" t="str">
        <f t="shared" si="58"/>
        <v>NO</v>
      </c>
      <c r="U985" s="86"/>
      <c r="V985" s="80"/>
      <c r="W985" s="80"/>
      <c r="X985" s="80"/>
      <c r="Y985" s="80"/>
      <c r="Z985" s="80"/>
      <c r="AA985" s="80"/>
      <c r="AB985" s="80"/>
      <c r="AC985" s="80"/>
    </row>
    <row r="986" spans="1:29" ht="39.950000000000003" customHeight="1">
      <c r="A986" s="80">
        <v>1003</v>
      </c>
      <c r="B986" s="82">
        <v>45240</v>
      </c>
      <c r="C986" s="411">
        <v>0.54722222222222217</v>
      </c>
      <c r="D986" s="83" t="s">
        <v>4046</v>
      </c>
      <c r="E986" s="84" t="s">
        <v>4047</v>
      </c>
      <c r="F986" s="80">
        <v>4</v>
      </c>
      <c r="G986" s="80" t="s">
        <v>1441</v>
      </c>
      <c r="H986" s="82">
        <v>45264</v>
      </c>
      <c r="I986" s="85" t="s">
        <v>73</v>
      </c>
      <c r="J986" s="82" t="s">
        <v>2951</v>
      </c>
      <c r="K986" s="83" t="s">
        <v>3835</v>
      </c>
      <c r="L986" s="83" t="s">
        <v>813</v>
      </c>
      <c r="M986" s="83" t="s">
        <v>1874</v>
      </c>
      <c r="N986" s="80"/>
      <c r="O986" s="83" t="str">
        <f t="shared" ca="1" si="57"/>
        <v>NO</v>
      </c>
      <c r="P986" s="83" t="str">
        <f t="shared" si="56"/>
        <v>DIANOSOL</v>
      </c>
      <c r="Q986" s="83" t="s">
        <v>951</v>
      </c>
      <c r="R986" s="83" t="str">
        <f>VLOOKUP($Q986,Resultados!$A$1:$B$49,2,FALSE)</f>
        <v xml:space="preserve"> _</v>
      </c>
      <c r="S986" s="83"/>
      <c r="T986" s="86" t="str">
        <f t="shared" si="58"/>
        <v>NO</v>
      </c>
      <c r="U986" s="86"/>
      <c r="V986" s="80"/>
      <c r="W986" s="80"/>
      <c r="X986" s="80"/>
      <c r="Y986" s="80"/>
      <c r="Z986" s="80"/>
      <c r="AA986" s="80"/>
      <c r="AB986" s="80"/>
      <c r="AC986" s="80"/>
    </row>
    <row r="987" spans="1:29" ht="39.950000000000003" customHeight="1">
      <c r="A987" s="80">
        <v>1005</v>
      </c>
      <c r="B987" s="82">
        <v>45240</v>
      </c>
      <c r="C987" s="411">
        <v>0.52569444444444446</v>
      </c>
      <c r="D987" s="83" t="s">
        <v>4050</v>
      </c>
      <c r="E987" s="84" t="s">
        <v>4116</v>
      </c>
      <c r="F987" s="80">
        <v>4</v>
      </c>
      <c r="G987" s="80" t="s">
        <v>1442</v>
      </c>
      <c r="H987" s="82">
        <v>45264</v>
      </c>
      <c r="I987" s="85" t="s">
        <v>73</v>
      </c>
      <c r="J987" s="82" t="s">
        <v>33</v>
      </c>
      <c r="K987" s="80">
        <f>IFERROR(VLOOKUP(J987,Jueces!$A$1:$B$11,2,FALSE),"")</f>
        <v>4</v>
      </c>
      <c r="L987" s="83" t="s">
        <v>800</v>
      </c>
      <c r="M987" s="83" t="s">
        <v>3813</v>
      </c>
      <c r="N987" s="80"/>
      <c r="O987" s="83" t="str">
        <f t="shared" ca="1" si="57"/>
        <v>NO</v>
      </c>
      <c r="P987" s="83" t="str">
        <f t="shared" si="56"/>
        <v>DIANOSOL</v>
      </c>
      <c r="Q987" s="83" t="s">
        <v>951</v>
      </c>
      <c r="R987" s="83" t="str">
        <f>VLOOKUP($Q987,Resultados!$A$1:$B$49,2,FALSE)</f>
        <v xml:space="preserve"> _</v>
      </c>
      <c r="S987" s="83"/>
      <c r="T987" s="86" t="str">
        <f t="shared" si="58"/>
        <v>NO</v>
      </c>
      <c r="U987" s="86"/>
      <c r="V987" s="80"/>
      <c r="W987" s="80"/>
      <c r="X987" s="80"/>
      <c r="Y987" s="80"/>
      <c r="Z987" s="80"/>
      <c r="AA987" s="80"/>
      <c r="AB987" s="80"/>
      <c r="AC987" s="80"/>
    </row>
    <row r="988" spans="1:29" ht="39.950000000000003" customHeight="1">
      <c r="A988" s="214">
        <v>882</v>
      </c>
      <c r="B988" s="322"/>
      <c r="C988" s="214"/>
      <c r="D988" s="214" t="s">
        <v>3230</v>
      </c>
      <c r="E988" s="215" t="s">
        <v>3626</v>
      </c>
      <c r="F988" s="214">
        <v>2</v>
      </c>
      <c r="G988" s="214" t="s">
        <v>1441</v>
      </c>
      <c r="H988" s="322">
        <v>45273</v>
      </c>
      <c r="I988" s="322" t="s">
        <v>73</v>
      </c>
      <c r="J988" s="322" t="s">
        <v>35</v>
      </c>
      <c r="K988" s="214">
        <f>IFERROR(VLOOKUP(J988,Jueces!$A$1:$B$11,2,FALSE),"")</f>
        <v>3</v>
      </c>
      <c r="L988" s="214" t="s">
        <v>812</v>
      </c>
      <c r="M988" s="214" t="s">
        <v>692</v>
      </c>
      <c r="N988" s="214" t="s">
        <v>3627</v>
      </c>
      <c r="O988" s="214" t="str">
        <f t="shared" ca="1" si="57"/>
        <v>NO</v>
      </c>
      <c r="P988" s="214" t="str">
        <f t="shared" si="56"/>
        <v>DIANOSOL</v>
      </c>
      <c r="Q988" s="214" t="s">
        <v>951</v>
      </c>
      <c r="R988" s="214" t="str">
        <f>VLOOKUP($Q988,Resultados!$A$1:$B$49,2,FALSE)</f>
        <v xml:space="preserve"> _</v>
      </c>
      <c r="S988" s="214"/>
      <c r="T988" s="281" t="str">
        <f t="shared" si="58"/>
        <v>NO</v>
      </c>
      <c r="U988" s="281"/>
      <c r="V988" s="214"/>
      <c r="W988" s="214"/>
      <c r="X988" s="214"/>
      <c r="Y988" s="214"/>
      <c r="Z988" s="214"/>
      <c r="AA988" s="214"/>
      <c r="AB988" s="214"/>
      <c r="AC988" s="366"/>
    </row>
    <row r="989" spans="1:29" ht="39.950000000000003" customHeight="1">
      <c r="A989" s="418">
        <v>827</v>
      </c>
      <c r="B989" s="419"/>
      <c r="C989" s="418"/>
      <c r="D989" s="418" t="s">
        <v>3164</v>
      </c>
      <c r="E989" s="420" t="s">
        <v>3203</v>
      </c>
      <c r="F989" s="418">
        <v>2</v>
      </c>
      <c r="G989" s="418" t="s">
        <v>1442</v>
      </c>
      <c r="H989" s="419"/>
      <c r="I989" s="419"/>
      <c r="J989" s="419" t="s">
        <v>2948</v>
      </c>
      <c r="K989" s="418" t="s">
        <v>1924</v>
      </c>
      <c r="L989" s="418" t="s">
        <v>809</v>
      </c>
      <c r="M989" s="422" t="s">
        <v>692</v>
      </c>
      <c r="N989" s="418" t="s">
        <v>4072</v>
      </c>
      <c r="O989" s="418" t="str">
        <f t="shared" ca="1" si="57"/>
        <v>LIMBO</v>
      </c>
      <c r="P989" s="418" t="str">
        <f t="shared" si="56"/>
        <v>DIANOSOL</v>
      </c>
      <c r="Q989" s="418" t="s">
        <v>951</v>
      </c>
      <c r="R989" s="418" t="str">
        <f>VLOOKUP($Q989,Resultados!$A$1:$B$49,2,FALSE)</f>
        <v xml:space="preserve"> _</v>
      </c>
      <c r="S989" s="418"/>
      <c r="T989" s="427" t="str">
        <f t="shared" si="58"/>
        <v>NO</v>
      </c>
      <c r="U989" s="427"/>
      <c r="V989" s="418"/>
      <c r="W989" s="418"/>
      <c r="X989" s="418"/>
      <c r="Y989" s="418"/>
      <c r="Z989" s="418"/>
      <c r="AA989" s="428" t="s">
        <v>1170</v>
      </c>
      <c r="AB989" s="418" t="s">
        <v>1173</v>
      </c>
      <c r="AC989" s="429"/>
    </row>
    <row r="990" spans="1:29" ht="39.950000000000003" customHeight="1">
      <c r="A990" s="172">
        <v>726</v>
      </c>
      <c r="B990" s="330">
        <v>45197</v>
      </c>
      <c r="C990" s="331">
        <v>0.4201388888888889</v>
      </c>
      <c r="D990" s="172"/>
      <c r="E990" s="173" t="s">
        <v>3075</v>
      </c>
      <c r="F990" s="172">
        <v>1</v>
      </c>
      <c r="G990" s="172"/>
      <c r="H990" s="330"/>
      <c r="I990" s="330"/>
      <c r="J990" s="330"/>
      <c r="K990" s="172" t="str">
        <f>IFERROR(VLOOKUP(J990,Jueces!$A$1:$B$11,2,FALSE),"")</f>
        <v/>
      </c>
      <c r="L990" s="172" t="s">
        <v>2088</v>
      </c>
      <c r="M990" s="414"/>
      <c r="N990" s="172"/>
      <c r="O990" s="172" t="str">
        <f t="shared" ca="1" si="57"/>
        <v>LIMBO</v>
      </c>
      <c r="P990" s="172" t="str">
        <f t="shared" si="56"/>
        <v>DIANOSOL</v>
      </c>
      <c r="Q990" s="172" t="s">
        <v>951</v>
      </c>
      <c r="R990" s="172" t="str">
        <f>VLOOKUP($Q990,Resultados!$A$1:$B$49,2,FALSE)</f>
        <v xml:space="preserve"> _</v>
      </c>
      <c r="S990" s="172"/>
      <c r="T990" s="174" t="str">
        <f t="shared" si="58"/>
        <v>NO</v>
      </c>
      <c r="U990" s="174"/>
      <c r="V990" s="172"/>
      <c r="W990" s="172"/>
      <c r="X990" s="172"/>
      <c r="Y990" s="172"/>
      <c r="Z990" s="172"/>
      <c r="AA990" s="172"/>
      <c r="AB990" s="172"/>
      <c r="AC990" s="373"/>
    </row>
    <row r="991" spans="1:29" ht="39.950000000000003" customHeight="1">
      <c r="A991" s="244">
        <v>805</v>
      </c>
      <c r="B991" s="328">
        <v>45202</v>
      </c>
      <c r="C991" s="329">
        <v>0.47083333333333338</v>
      </c>
      <c r="D991" s="244" t="s">
        <v>3160</v>
      </c>
      <c r="E991" s="247" t="s">
        <v>3381</v>
      </c>
      <c r="F991" s="244">
        <v>8</v>
      </c>
      <c r="G991" s="244"/>
      <c r="H991" s="328"/>
      <c r="I991" s="328"/>
      <c r="J991" s="328"/>
      <c r="K991" s="244" t="str">
        <f>IFERROR(VLOOKUP(J991,Jueces!$A$1:$B$11,2,FALSE),"")</f>
        <v/>
      </c>
      <c r="L991" s="244" t="s">
        <v>791</v>
      </c>
      <c r="M991" s="244" t="s">
        <v>887</v>
      </c>
      <c r="N991" s="421"/>
      <c r="O991" s="244" t="str">
        <f t="shared" ca="1" si="57"/>
        <v>LIMBO</v>
      </c>
      <c r="P991" s="244" t="str">
        <f t="shared" si="56"/>
        <v>DIANOSOL</v>
      </c>
      <c r="Q991" s="244" t="s">
        <v>951</v>
      </c>
      <c r="R991" s="244" t="str">
        <f>VLOOKUP($Q991,Resultados!$A$1:$B$49,2,FALSE)</f>
        <v xml:space="preserve"> _</v>
      </c>
      <c r="S991" s="244"/>
      <c r="T991" s="245" t="str">
        <f t="shared" si="58"/>
        <v>NO</v>
      </c>
      <c r="U991" s="245"/>
      <c r="V991" s="244"/>
      <c r="W991" s="244"/>
      <c r="X991" s="244"/>
      <c r="Y991" s="244"/>
      <c r="Z991" s="244"/>
      <c r="AA991" s="244"/>
      <c r="AB991" s="244"/>
      <c r="AC991" s="373"/>
    </row>
    <row r="992" spans="1:29" ht="39.950000000000003" customHeight="1">
      <c r="A992" s="244">
        <v>812</v>
      </c>
      <c r="B992" s="328">
        <v>45210</v>
      </c>
      <c r="C992" s="329">
        <v>0.41250000000000003</v>
      </c>
      <c r="D992" s="244" t="s">
        <v>3333</v>
      </c>
      <c r="E992" s="247" t="s">
        <v>3394</v>
      </c>
      <c r="F992" s="244">
        <v>2</v>
      </c>
      <c r="G992" s="244"/>
      <c r="H992" s="328"/>
      <c r="I992" s="328"/>
      <c r="J992" s="328"/>
      <c r="K992" s="244" t="str">
        <f>IFERROR(VLOOKUP(J992,Jueces!$A$1:$B$11,2,FALSE),"")</f>
        <v/>
      </c>
      <c r="L992" s="244" t="s">
        <v>813</v>
      </c>
      <c r="M992" s="421" t="s">
        <v>693</v>
      </c>
      <c r="N992" s="244"/>
      <c r="O992" s="244" t="str">
        <f t="shared" ca="1" si="57"/>
        <v>LIMBO</v>
      </c>
      <c r="P992" s="244" t="str">
        <f t="shared" si="56"/>
        <v>DIANOSOL</v>
      </c>
      <c r="Q992" s="244" t="s">
        <v>951</v>
      </c>
      <c r="R992" s="244" t="str">
        <f>VLOOKUP($Q992,Resultados!$A$1:$B$49,2,FALSE)</f>
        <v xml:space="preserve"> _</v>
      </c>
      <c r="S992" s="244"/>
      <c r="T992" s="245" t="str">
        <f t="shared" si="58"/>
        <v>NO</v>
      </c>
      <c r="U992" s="245"/>
      <c r="V992" s="244"/>
      <c r="W992" s="244"/>
      <c r="X992" s="244"/>
      <c r="Y992" s="244"/>
      <c r="Z992" s="244"/>
      <c r="AA992" s="244"/>
      <c r="AB992" s="244"/>
      <c r="AC992" s="373"/>
    </row>
    <row r="993" spans="1:29" ht="39.950000000000003" customHeight="1">
      <c r="A993" s="172">
        <v>813</v>
      </c>
      <c r="B993" s="330"/>
      <c r="C993" s="172"/>
      <c r="D993" s="172"/>
      <c r="E993" s="173" t="s">
        <v>3411</v>
      </c>
      <c r="F993" s="172">
        <v>1</v>
      </c>
      <c r="G993" s="172"/>
      <c r="H993" s="330"/>
      <c r="I993" s="330"/>
      <c r="J993" s="330"/>
      <c r="K993" s="172" t="str">
        <f>IFERROR(VLOOKUP(J993,Jueces!$A$1:$B$11,2,FALSE),"")</f>
        <v/>
      </c>
      <c r="L993" s="172" t="s">
        <v>812</v>
      </c>
      <c r="M993" s="172"/>
      <c r="N993" s="172"/>
      <c r="O993" s="172" t="str">
        <f t="shared" ca="1" si="57"/>
        <v>LIMBO</v>
      </c>
      <c r="P993" s="172" t="str">
        <f t="shared" si="56"/>
        <v>DIANOSOL</v>
      </c>
      <c r="Q993" s="172" t="s">
        <v>951</v>
      </c>
      <c r="R993" s="172" t="str">
        <f>VLOOKUP($Q993,Resultados!$A$1:$B$49,2,FALSE)</f>
        <v xml:space="preserve"> _</v>
      </c>
      <c r="S993" s="172"/>
      <c r="T993" s="174" t="str">
        <f t="shared" si="58"/>
        <v>NO</v>
      </c>
      <c r="U993" s="174"/>
      <c r="V993" s="172"/>
      <c r="W993" s="172"/>
      <c r="X993" s="172"/>
      <c r="Y993" s="172"/>
      <c r="Z993" s="172"/>
      <c r="AA993" s="172"/>
      <c r="AB993" s="172"/>
      <c r="AC993" s="373"/>
    </row>
    <row r="994" spans="1:29" ht="39.950000000000003" customHeight="1">
      <c r="A994" s="244">
        <v>819</v>
      </c>
      <c r="B994" s="328">
        <v>45216</v>
      </c>
      <c r="C994" s="329">
        <v>0.45833333333333331</v>
      </c>
      <c r="D994" s="244" t="s">
        <v>1208</v>
      </c>
      <c r="E994" s="247" t="s">
        <v>3424</v>
      </c>
      <c r="F994" s="244">
        <v>4</v>
      </c>
      <c r="G994" s="244"/>
      <c r="H994" s="328"/>
      <c r="I994" s="328"/>
      <c r="J994" s="328"/>
      <c r="K994" s="244" t="str">
        <f>IFERROR(VLOOKUP(J994,Jueces!$A$1:$B$11,2,FALSE),"")</f>
        <v/>
      </c>
      <c r="L994" s="244" t="s">
        <v>1070</v>
      </c>
      <c r="M994" s="244" t="s">
        <v>3425</v>
      </c>
      <c r="N994" s="244"/>
      <c r="O994" s="244" t="str">
        <f t="shared" ca="1" si="57"/>
        <v>LIMBO</v>
      </c>
      <c r="P994" s="244" t="str">
        <f t="shared" si="56"/>
        <v>DIANOSOL</v>
      </c>
      <c r="Q994" s="244" t="s">
        <v>951</v>
      </c>
      <c r="R994" s="244" t="str">
        <f>VLOOKUP($Q994,Resultados!$A$1:$B$49,2,FALSE)</f>
        <v xml:space="preserve"> _</v>
      </c>
      <c r="S994" s="244"/>
      <c r="T994" s="245" t="str">
        <f t="shared" si="58"/>
        <v>NO</v>
      </c>
      <c r="U994" s="245"/>
      <c r="V994" s="244"/>
      <c r="W994" s="244"/>
      <c r="X994" s="244"/>
      <c r="Y994" s="244"/>
      <c r="Z994" s="244"/>
      <c r="AA994" s="244"/>
      <c r="AB994" s="244"/>
      <c r="AC994" s="373"/>
    </row>
    <row r="995" spans="1:29" ht="39.950000000000003" customHeight="1">
      <c r="A995" s="172">
        <v>826</v>
      </c>
      <c r="B995" s="330">
        <v>45216</v>
      </c>
      <c r="C995" s="331">
        <v>0.375</v>
      </c>
      <c r="D995" s="172" t="s">
        <v>3367</v>
      </c>
      <c r="E995" s="173" t="s">
        <v>3449</v>
      </c>
      <c r="F995" s="172">
        <v>1</v>
      </c>
      <c r="G995" s="172"/>
      <c r="H995" s="330"/>
      <c r="I995" s="330"/>
      <c r="J995" s="330"/>
      <c r="K995" s="172" t="str">
        <f>IFERROR(VLOOKUP(J995,Jueces!$A$1:$B$11,2,FALSE),"")</f>
        <v/>
      </c>
      <c r="L995" s="172" t="s">
        <v>829</v>
      </c>
      <c r="M995" s="172"/>
      <c r="N995" s="172"/>
      <c r="O995" s="172" t="str">
        <f t="shared" ca="1" si="57"/>
        <v>LIMBO</v>
      </c>
      <c r="P995" s="172" t="str">
        <f t="shared" si="56"/>
        <v>DIANOSOL</v>
      </c>
      <c r="Q995" s="172" t="s">
        <v>951</v>
      </c>
      <c r="R995" s="172" t="str">
        <f>VLOOKUP($Q995,Resultados!$A$1:$B$49,2,FALSE)</f>
        <v xml:space="preserve"> _</v>
      </c>
      <c r="S995" s="172"/>
      <c r="T995" s="174" t="str">
        <f t="shared" si="58"/>
        <v>NO</v>
      </c>
      <c r="U995" s="174"/>
      <c r="V995" s="172"/>
      <c r="W995" s="172"/>
      <c r="X995" s="172"/>
      <c r="Y995" s="172"/>
      <c r="Z995" s="172"/>
      <c r="AA995" s="172"/>
      <c r="AB995" s="172"/>
      <c r="AC995" s="373"/>
    </row>
    <row r="996" spans="1:29" ht="39.950000000000003" customHeight="1">
      <c r="A996" s="172">
        <v>864</v>
      </c>
      <c r="B996" s="330" t="s">
        <v>3580</v>
      </c>
      <c r="C996" s="331">
        <v>0.5229166666666667</v>
      </c>
      <c r="D996" s="172" t="s">
        <v>2768</v>
      </c>
      <c r="E996" s="173" t="s">
        <v>3581</v>
      </c>
      <c r="F996" s="172">
        <v>1</v>
      </c>
      <c r="G996" s="172"/>
      <c r="H996" s="330"/>
      <c r="I996" s="330"/>
      <c r="J996" s="330"/>
      <c r="K996" s="172" t="str">
        <f>IFERROR(VLOOKUP(J996,Jueces!$A$1:$B$11,2,FALSE),"")</f>
        <v/>
      </c>
      <c r="L996" s="172" t="s">
        <v>813</v>
      </c>
      <c r="M996" s="172"/>
      <c r="N996" s="172"/>
      <c r="O996" s="172" t="str">
        <f t="shared" ca="1" si="57"/>
        <v>LIMBO</v>
      </c>
      <c r="P996" s="172" t="str">
        <f t="shared" si="56"/>
        <v>DIANOSOL</v>
      </c>
      <c r="Q996" s="172" t="s">
        <v>951</v>
      </c>
      <c r="R996" s="172" t="str">
        <f>VLOOKUP($Q996,Resultados!$A$1:$B$49,2,FALSE)</f>
        <v xml:space="preserve"> _</v>
      </c>
      <c r="S996" s="172"/>
      <c r="T996" s="174" t="str">
        <f t="shared" si="58"/>
        <v>NO</v>
      </c>
      <c r="U996" s="174"/>
      <c r="V996" s="172"/>
      <c r="W996" s="172"/>
      <c r="X996" s="172"/>
      <c r="Y996" s="172"/>
      <c r="Z996" s="172"/>
      <c r="AA996" s="172"/>
      <c r="AB996" s="172"/>
      <c r="AC996" s="363"/>
    </row>
    <row r="997" spans="1:29" ht="39.950000000000003" customHeight="1">
      <c r="A997" s="172">
        <v>889</v>
      </c>
      <c r="B997" s="330">
        <v>45225</v>
      </c>
      <c r="C997" s="331">
        <v>0.51250000000000007</v>
      </c>
      <c r="D997" s="172" t="s">
        <v>3646</v>
      </c>
      <c r="E997" s="173" t="s">
        <v>3647</v>
      </c>
      <c r="F997" s="172">
        <v>8</v>
      </c>
      <c r="G997" s="172"/>
      <c r="H997" s="330"/>
      <c r="I997" s="330"/>
      <c r="J997" s="330"/>
      <c r="K997" s="172" t="str">
        <f>IFERROR(VLOOKUP(J997,Jueces!$A$1:$B$11,2,FALSE),"")</f>
        <v/>
      </c>
      <c r="L997" s="172" t="s">
        <v>798</v>
      </c>
      <c r="M997" s="172"/>
      <c r="N997" s="172"/>
      <c r="O997" s="172" t="str">
        <f t="shared" ca="1" si="57"/>
        <v>LIMBO</v>
      </c>
      <c r="P997" s="172" t="str">
        <f t="shared" si="56"/>
        <v>DIANOSOL</v>
      </c>
      <c r="Q997" s="172" t="s">
        <v>951</v>
      </c>
      <c r="R997" s="172" t="str">
        <f>VLOOKUP($Q997,Resultados!$A$1:$B$49,2,FALSE)</f>
        <v xml:space="preserve"> _</v>
      </c>
      <c r="S997" s="172"/>
      <c r="T997" s="174" t="str">
        <f t="shared" si="58"/>
        <v>NO</v>
      </c>
      <c r="U997" s="174"/>
      <c r="V997" s="172"/>
      <c r="W997" s="172"/>
      <c r="X997" s="172"/>
      <c r="Y997" s="172"/>
      <c r="Z997" s="172"/>
      <c r="AA997" s="172"/>
      <c r="AB997" s="172"/>
      <c r="AC997" s="363"/>
    </row>
    <row r="998" spans="1:29" ht="39.950000000000003" customHeight="1">
      <c r="A998" s="172">
        <v>913</v>
      </c>
      <c r="B998" s="330">
        <v>45230</v>
      </c>
      <c r="C998" s="331">
        <v>0.45763888888888887</v>
      </c>
      <c r="D998" s="172" t="s">
        <v>2109</v>
      </c>
      <c r="E998" s="173" t="s">
        <v>3747</v>
      </c>
      <c r="F998" s="172">
        <v>1</v>
      </c>
      <c r="G998" s="172"/>
      <c r="H998" s="330"/>
      <c r="I998" s="330"/>
      <c r="J998" s="330"/>
      <c r="K998" s="172" t="str">
        <f>IFERROR(VLOOKUP(J998,Jueces!$A$1:$B$11,2,FALSE),"")</f>
        <v/>
      </c>
      <c r="L998" s="172" t="s">
        <v>192</v>
      </c>
      <c r="M998" s="172" t="s">
        <v>3438</v>
      </c>
      <c r="N998" s="377" t="s">
        <v>3748</v>
      </c>
      <c r="O998" s="172" t="str">
        <f t="shared" ca="1" si="57"/>
        <v>LIMBO</v>
      </c>
      <c r="P998" s="172" t="str">
        <f t="shared" si="56"/>
        <v>DIANOSOL</v>
      </c>
      <c r="Q998" s="172" t="s">
        <v>951</v>
      </c>
      <c r="R998" s="172" t="str">
        <f>VLOOKUP($Q998,Resultados!$A$1:$B$49,2,FALSE)</f>
        <v xml:space="preserve"> _</v>
      </c>
      <c r="S998" s="172"/>
      <c r="T998" s="174" t="str">
        <f t="shared" si="58"/>
        <v>NO</v>
      </c>
      <c r="U998" s="174"/>
      <c r="V998" s="172"/>
      <c r="W998" s="172"/>
      <c r="X998" s="172"/>
      <c r="Y998" s="172"/>
      <c r="Z998" s="172"/>
      <c r="AA998" s="172"/>
      <c r="AB998" s="172"/>
      <c r="AC998" s="363"/>
    </row>
    <row r="999" spans="1:29" ht="39.950000000000003" customHeight="1">
      <c r="A999" s="172">
        <v>930</v>
      </c>
      <c r="B999" s="330">
        <v>45232</v>
      </c>
      <c r="C999" s="331">
        <v>0.37916666666666665</v>
      </c>
      <c r="D999" s="172" t="s">
        <v>3801</v>
      </c>
      <c r="E999" s="173" t="s">
        <v>3802</v>
      </c>
      <c r="F999" s="172">
        <v>3</v>
      </c>
      <c r="G999" s="172"/>
      <c r="H999" s="330"/>
      <c r="I999" s="330"/>
      <c r="J999" s="330"/>
      <c r="K999" s="172" t="str">
        <f>IFERROR(VLOOKUP(J999,Jueces!$A$1:$B$11,2,FALSE),"")</f>
        <v/>
      </c>
      <c r="L999" s="172" t="s">
        <v>806</v>
      </c>
      <c r="M999" s="172"/>
      <c r="N999" s="172"/>
      <c r="O999" s="172" t="str">
        <f t="shared" ca="1" si="57"/>
        <v>LIMBO</v>
      </c>
      <c r="P999" s="172" t="str">
        <f t="shared" si="56"/>
        <v>DIANOSOL</v>
      </c>
      <c r="Q999" s="172" t="s">
        <v>951</v>
      </c>
      <c r="R999" s="172" t="str">
        <f>VLOOKUP($Q999,Resultados!$A$1:$B$49,2,FALSE)</f>
        <v xml:space="preserve"> _</v>
      </c>
      <c r="S999" s="172"/>
      <c r="T999" s="174" t="str">
        <f t="shared" si="58"/>
        <v>NO</v>
      </c>
      <c r="U999" s="174"/>
      <c r="V999" s="172"/>
      <c r="W999" s="172"/>
      <c r="X999" s="172"/>
      <c r="Y999" s="172"/>
      <c r="Z999" s="172"/>
      <c r="AA999" s="172"/>
      <c r="AB999" s="172"/>
      <c r="AC999" s="363"/>
    </row>
    <row r="1000" spans="1:29" ht="39.950000000000003" customHeight="1">
      <c r="A1000" s="363">
        <v>976</v>
      </c>
      <c r="B1000" s="330" t="s">
        <v>3959</v>
      </c>
      <c r="C1000" s="383">
        <v>0.46527777777777773</v>
      </c>
      <c r="D1000" s="172" t="s">
        <v>3960</v>
      </c>
      <c r="E1000" s="173" t="s">
        <v>3961</v>
      </c>
      <c r="F1000" s="363">
        <v>4</v>
      </c>
      <c r="G1000" s="363"/>
      <c r="H1000" s="382"/>
      <c r="I1000" s="382"/>
      <c r="J1000" s="382"/>
      <c r="K1000" s="363" t="str">
        <f>IFERROR(VLOOKUP(J1000,Jueces!$A$1:$B$11,2,FALSE),"")</f>
        <v/>
      </c>
      <c r="L1000" s="172" t="s">
        <v>812</v>
      </c>
      <c r="M1000" s="172"/>
      <c r="N1000" s="363"/>
      <c r="O1000" s="172" t="str">
        <f t="shared" ca="1" si="57"/>
        <v>LIMBO</v>
      </c>
      <c r="P1000" s="172" t="str">
        <f t="shared" si="56"/>
        <v>DIANOSOL</v>
      </c>
      <c r="Q1000" s="172" t="s">
        <v>951</v>
      </c>
      <c r="R1000" s="172" t="str">
        <f>VLOOKUP($Q1000,Resultados!$A$1:$B$49,2,FALSE)</f>
        <v xml:space="preserve"> _</v>
      </c>
      <c r="S1000" s="172"/>
      <c r="T1000" s="174" t="str">
        <f t="shared" si="58"/>
        <v>NO</v>
      </c>
      <c r="U1000" s="174"/>
      <c r="V1000" s="363"/>
      <c r="W1000" s="363"/>
      <c r="X1000" s="363"/>
      <c r="Y1000" s="363"/>
      <c r="Z1000" s="363"/>
      <c r="AA1000" s="363"/>
      <c r="AB1000" s="363"/>
      <c r="AC1000" s="363"/>
    </row>
    <row r="1001" spans="1:29" ht="39.950000000000003" customHeight="1">
      <c r="A1001" s="363">
        <v>980</v>
      </c>
      <c r="B1001" s="382">
        <v>45239</v>
      </c>
      <c r="C1001" s="383">
        <v>0.37986111111111115</v>
      </c>
      <c r="D1001" s="172" t="s">
        <v>3991</v>
      </c>
      <c r="E1001" s="173" t="s">
        <v>3992</v>
      </c>
      <c r="F1001" s="363">
        <v>3</v>
      </c>
      <c r="G1001" s="363"/>
      <c r="H1001" s="382"/>
      <c r="I1001" s="382"/>
      <c r="J1001" s="382"/>
      <c r="K1001" s="363" t="str">
        <f>IFERROR(VLOOKUP(J1001,Jueces!$A$1:$B$11,2,FALSE),"")</f>
        <v/>
      </c>
      <c r="L1001" s="172" t="s">
        <v>807</v>
      </c>
      <c r="M1001" s="172"/>
      <c r="N1001" s="363"/>
      <c r="O1001" s="172" t="str">
        <f t="shared" ca="1" si="57"/>
        <v>LIMBO</v>
      </c>
      <c r="P1001" s="172" t="str">
        <f t="shared" si="56"/>
        <v>DIANOSOL</v>
      </c>
      <c r="Q1001" s="172" t="s">
        <v>951</v>
      </c>
      <c r="R1001" s="172" t="str">
        <f>VLOOKUP($Q1001,Resultados!$A$1:$B$49,2,FALSE)</f>
        <v xml:space="preserve"> _</v>
      </c>
      <c r="S1001" s="172"/>
      <c r="T1001" s="174" t="str">
        <f t="shared" si="58"/>
        <v>NO</v>
      </c>
      <c r="U1001" s="174"/>
      <c r="V1001" s="363"/>
      <c r="W1001" s="363"/>
      <c r="X1001" s="363"/>
      <c r="Y1001" s="363"/>
      <c r="Z1001" s="363"/>
      <c r="AA1001" s="363"/>
      <c r="AB1001" s="363"/>
      <c r="AC1001" s="363"/>
    </row>
    <row r="1002" spans="1:29" ht="39.950000000000003" customHeight="1">
      <c r="A1002" s="390">
        <v>982</v>
      </c>
      <c r="B1002" s="391">
        <v>45239</v>
      </c>
      <c r="C1002" s="392">
        <v>0.39583333333333331</v>
      </c>
      <c r="D1002" s="244" t="s">
        <v>3849</v>
      </c>
      <c r="E1002" s="247" t="s">
        <v>4131</v>
      </c>
      <c r="F1002" s="390">
        <v>4</v>
      </c>
      <c r="G1002" s="390"/>
      <c r="H1002" s="391"/>
      <c r="I1002" s="391"/>
      <c r="J1002" s="391"/>
      <c r="K1002" s="390" t="str">
        <f>IFERROR(VLOOKUP(J1002,Jueces!$A$1:$B$11,2,FALSE),"")</f>
        <v/>
      </c>
      <c r="L1002" s="244" t="s">
        <v>800</v>
      </c>
      <c r="M1002" s="244" t="s">
        <v>695</v>
      </c>
      <c r="N1002" s="390"/>
      <c r="O1002" s="244" t="str">
        <f t="shared" ca="1" si="57"/>
        <v>LIMBO</v>
      </c>
      <c r="P1002" s="244" t="str">
        <f t="shared" si="56"/>
        <v>DIANOSOL</v>
      </c>
      <c r="Q1002" s="244" t="s">
        <v>951</v>
      </c>
      <c r="R1002" s="244" t="str">
        <f>VLOOKUP($Q1002,Resultados!$A$1:$B$49,2,FALSE)</f>
        <v xml:space="preserve"> _</v>
      </c>
      <c r="S1002" s="244"/>
      <c r="T1002" s="245" t="str">
        <f t="shared" si="58"/>
        <v>NO</v>
      </c>
      <c r="U1002" s="245"/>
      <c r="V1002" s="390"/>
      <c r="W1002" s="390"/>
      <c r="X1002" s="390"/>
      <c r="Y1002" s="390"/>
      <c r="Z1002" s="390"/>
      <c r="AA1002" s="390"/>
      <c r="AB1002" s="390"/>
      <c r="AC1002" s="390"/>
    </row>
    <row r="1003" spans="1:29" ht="39.950000000000003" customHeight="1">
      <c r="A1003" s="366">
        <v>990</v>
      </c>
      <c r="B1003" s="434">
        <v>45239</v>
      </c>
      <c r="C1003" s="435">
        <v>0.53125</v>
      </c>
      <c r="D1003" s="214" t="s">
        <v>4021</v>
      </c>
      <c r="E1003" s="215" t="s">
        <v>4022</v>
      </c>
      <c r="F1003" s="366">
        <v>2</v>
      </c>
      <c r="G1003" s="366"/>
      <c r="H1003" s="434"/>
      <c r="I1003" s="434"/>
      <c r="J1003" s="434"/>
      <c r="K1003" s="366" t="str">
        <f>IFERROR(VLOOKUP(J1003,Jueces!$A$1:$B$11,2,FALSE),"")</f>
        <v/>
      </c>
      <c r="L1003" s="214" t="s">
        <v>810</v>
      </c>
      <c r="M1003" s="436" t="s">
        <v>700</v>
      </c>
      <c r="N1003" s="437" t="s">
        <v>4179</v>
      </c>
      <c r="O1003" s="214" t="str">
        <f t="shared" ca="1" si="57"/>
        <v>LIMBO</v>
      </c>
      <c r="P1003" s="214" t="str">
        <f t="shared" si="56"/>
        <v>DIANOSOL</v>
      </c>
      <c r="Q1003" s="214" t="s">
        <v>951</v>
      </c>
      <c r="R1003" s="214" t="str">
        <f>VLOOKUP($Q1003,Resultados!$A$1:$B$49,2,FALSE)</f>
        <v xml:space="preserve"> _</v>
      </c>
      <c r="S1003" s="214"/>
      <c r="T1003" s="281" t="str">
        <f t="shared" si="58"/>
        <v>NO</v>
      </c>
      <c r="U1003" s="281"/>
      <c r="V1003" s="366"/>
      <c r="W1003" s="366"/>
      <c r="X1003" s="366"/>
      <c r="Y1003" s="366"/>
      <c r="Z1003" s="366"/>
      <c r="AA1003" s="366"/>
      <c r="AB1003" s="366"/>
      <c r="AC1003" s="366"/>
    </row>
    <row r="1004" spans="1:29" ht="39.950000000000003" customHeight="1">
      <c r="A1004" s="363">
        <v>991</v>
      </c>
      <c r="B1004" s="382">
        <v>45240</v>
      </c>
      <c r="C1004" s="383">
        <v>0.35347222222222219</v>
      </c>
      <c r="D1004" s="172" t="s">
        <v>4023</v>
      </c>
      <c r="E1004" s="173" t="s">
        <v>4024</v>
      </c>
      <c r="F1004" s="363">
        <v>3</v>
      </c>
      <c r="G1004" s="363"/>
      <c r="H1004" s="382"/>
      <c r="I1004" s="382"/>
      <c r="J1004" s="382"/>
      <c r="K1004" s="363" t="str">
        <f>IFERROR(VLOOKUP(J1004,Jueces!$A$1:$B$11,2,FALSE),"")</f>
        <v/>
      </c>
      <c r="L1004" s="172" t="s">
        <v>812</v>
      </c>
      <c r="M1004" s="172"/>
      <c r="N1004" s="363"/>
      <c r="O1004" s="172" t="str">
        <f t="shared" ca="1" si="57"/>
        <v>LIMBO</v>
      </c>
      <c r="P1004" s="172" t="str">
        <f t="shared" si="56"/>
        <v>DIANOSOL</v>
      </c>
      <c r="Q1004" s="172" t="s">
        <v>951</v>
      </c>
      <c r="R1004" s="172" t="str">
        <f>VLOOKUP($Q1004,Resultados!$A$1:$B$49,2,FALSE)</f>
        <v xml:space="preserve"> _</v>
      </c>
      <c r="S1004" s="172"/>
      <c r="T1004" s="174" t="str">
        <f t="shared" si="58"/>
        <v>NO</v>
      </c>
      <c r="U1004" s="174"/>
      <c r="V1004" s="363"/>
      <c r="W1004" s="363"/>
      <c r="X1004" s="363"/>
      <c r="Y1004" s="363"/>
      <c r="Z1004" s="363"/>
      <c r="AA1004" s="363"/>
      <c r="AB1004" s="363"/>
      <c r="AC1004" s="363"/>
    </row>
    <row r="1005" spans="1:29" ht="39.950000000000003" customHeight="1">
      <c r="A1005" s="390">
        <v>998</v>
      </c>
      <c r="B1005" s="391">
        <v>45240</v>
      </c>
      <c r="C1005" s="392">
        <v>0.46388888888888885</v>
      </c>
      <c r="D1005" s="244" t="s">
        <v>4038</v>
      </c>
      <c r="E1005" s="247" t="s">
        <v>4039</v>
      </c>
      <c r="F1005" s="390">
        <v>4</v>
      </c>
      <c r="G1005" s="390"/>
      <c r="H1005" s="391"/>
      <c r="I1005" s="391"/>
      <c r="J1005" s="391"/>
      <c r="K1005" s="390" t="str">
        <f>IFERROR(VLOOKUP(J1005,Jueces!$A$1:$B$11,2,FALSE),"")</f>
        <v/>
      </c>
      <c r="L1005" s="244" t="s">
        <v>791</v>
      </c>
      <c r="M1005" s="244" t="s">
        <v>3813</v>
      </c>
      <c r="N1005" s="390"/>
      <c r="O1005" s="244" t="str">
        <f t="shared" ca="1" si="57"/>
        <v>LIMBO</v>
      </c>
      <c r="P1005" s="244" t="str">
        <f t="shared" si="56"/>
        <v>DIANOSOL</v>
      </c>
      <c r="Q1005" s="244" t="s">
        <v>951</v>
      </c>
      <c r="R1005" s="244" t="str">
        <f>VLOOKUP($Q1005,Resultados!$A$1:$B$49,2,FALSE)</f>
        <v xml:space="preserve"> _</v>
      </c>
      <c r="S1005" s="244"/>
      <c r="T1005" s="245" t="str">
        <f t="shared" si="58"/>
        <v>NO</v>
      </c>
      <c r="U1005" s="245"/>
      <c r="V1005" s="390"/>
      <c r="W1005" s="390"/>
      <c r="X1005" s="390"/>
      <c r="Y1005" s="390"/>
      <c r="Z1005" s="390"/>
      <c r="AA1005" s="390"/>
      <c r="AB1005" s="390"/>
      <c r="AC1005" s="390"/>
    </row>
    <row r="1006" spans="1:29" ht="39.950000000000003" customHeight="1">
      <c r="A1006" s="390">
        <v>999</v>
      </c>
      <c r="B1006" s="391">
        <v>45240</v>
      </c>
      <c r="C1006" s="392">
        <v>0.45416666666666666</v>
      </c>
      <c r="D1006" s="244" t="s">
        <v>4040</v>
      </c>
      <c r="E1006" s="247" t="s">
        <v>4186</v>
      </c>
      <c r="F1006" s="390">
        <v>4</v>
      </c>
      <c r="G1006" s="390"/>
      <c r="H1006" s="391"/>
      <c r="I1006" s="391"/>
      <c r="J1006" s="391"/>
      <c r="K1006" s="390" t="str">
        <f>IFERROR(VLOOKUP(J1006,Jueces!$A$1:$B$11,2,FALSE),"")</f>
        <v/>
      </c>
      <c r="L1006" s="244" t="s">
        <v>809</v>
      </c>
      <c r="M1006" s="421" t="s">
        <v>1874</v>
      </c>
      <c r="N1006" s="390"/>
      <c r="O1006" s="244" t="str">
        <f t="shared" ca="1" si="57"/>
        <v>LIMBO</v>
      </c>
      <c r="P1006" s="244" t="str">
        <f t="shared" si="56"/>
        <v>DIANOSOL</v>
      </c>
      <c r="Q1006" s="244" t="s">
        <v>951</v>
      </c>
      <c r="R1006" s="244" t="str">
        <f>VLOOKUP($Q1006,Resultados!$A$1:$B$49,2,FALSE)</f>
        <v xml:space="preserve"> _</v>
      </c>
      <c r="S1006" s="244"/>
      <c r="T1006" s="245" t="str">
        <f t="shared" si="58"/>
        <v>NO</v>
      </c>
      <c r="U1006" s="245"/>
      <c r="V1006" s="390"/>
      <c r="W1006" s="390"/>
      <c r="X1006" s="390"/>
      <c r="Y1006" s="390"/>
      <c r="Z1006" s="390"/>
      <c r="AA1006" s="390"/>
      <c r="AB1006" s="390"/>
      <c r="AC1006" s="390"/>
    </row>
    <row r="1007" spans="1:29" ht="39.950000000000003" customHeight="1">
      <c r="A1007" s="363">
        <v>1001</v>
      </c>
      <c r="B1007" s="382">
        <v>45240</v>
      </c>
      <c r="C1007" s="383">
        <v>0.44236111111111115</v>
      </c>
      <c r="D1007" s="172" t="s">
        <v>2508</v>
      </c>
      <c r="E1007" s="173" t="s">
        <v>4043</v>
      </c>
      <c r="F1007" s="363">
        <v>7</v>
      </c>
      <c r="G1007" s="363"/>
      <c r="H1007" s="382"/>
      <c r="I1007" s="382"/>
      <c r="J1007" s="382"/>
      <c r="K1007" s="363" t="str">
        <f>IFERROR(VLOOKUP(J1007,Jueces!$A$1:$B$11,2,FALSE),"")</f>
        <v/>
      </c>
      <c r="L1007" s="172" t="s">
        <v>812</v>
      </c>
      <c r="M1007" s="172"/>
      <c r="N1007" s="363"/>
      <c r="O1007" s="172" t="str">
        <f t="shared" ca="1" si="57"/>
        <v>LIMBO</v>
      </c>
      <c r="P1007" s="172" t="str">
        <f t="shared" si="56"/>
        <v>DIANOSOL</v>
      </c>
      <c r="Q1007" s="172" t="s">
        <v>951</v>
      </c>
      <c r="R1007" s="172" t="str">
        <f>VLOOKUP($Q1007,Resultados!$A$1:$B$49,2,FALSE)</f>
        <v xml:space="preserve"> _</v>
      </c>
      <c r="S1007" s="172"/>
      <c r="T1007" s="174" t="str">
        <f t="shared" si="58"/>
        <v>NO</v>
      </c>
      <c r="U1007" s="174"/>
      <c r="V1007" s="363"/>
      <c r="W1007" s="363"/>
      <c r="X1007" s="363"/>
      <c r="Y1007" s="363"/>
      <c r="Z1007" s="363"/>
      <c r="AA1007" s="363"/>
      <c r="AB1007" s="363"/>
      <c r="AC1007" s="363"/>
    </row>
    <row r="1008" spans="1:29" ht="39.950000000000003" customHeight="1">
      <c r="A1008" s="390">
        <v>1004</v>
      </c>
      <c r="B1008" s="391">
        <v>45240</v>
      </c>
      <c r="C1008" s="392">
        <v>0.52986111111111112</v>
      </c>
      <c r="D1008" s="244" t="s">
        <v>4048</v>
      </c>
      <c r="E1008" s="247" t="s">
        <v>4049</v>
      </c>
      <c r="F1008" s="390">
        <v>4</v>
      </c>
      <c r="G1008" s="390"/>
      <c r="H1008" s="391"/>
      <c r="I1008" s="391"/>
      <c r="J1008" s="391"/>
      <c r="K1008" s="390" t="str">
        <f>IFERROR(VLOOKUP(J1008,Jueces!$A$1:$B$11,2,FALSE),"")</f>
        <v/>
      </c>
      <c r="L1008" s="244" t="s">
        <v>809</v>
      </c>
      <c r="M1008" s="244" t="s">
        <v>1874</v>
      </c>
      <c r="N1008" s="390"/>
      <c r="O1008" s="244" t="str">
        <f t="shared" ca="1" si="57"/>
        <v>LIMBO</v>
      </c>
      <c r="P1008" s="244" t="str">
        <f t="shared" si="56"/>
        <v>DIANOSOL</v>
      </c>
      <c r="Q1008" s="244" t="s">
        <v>951</v>
      </c>
      <c r="R1008" s="244" t="str">
        <f>VLOOKUP($Q1008,Resultados!$A$1:$B$49,2,FALSE)</f>
        <v xml:space="preserve"> _</v>
      </c>
      <c r="S1008" s="244"/>
      <c r="T1008" s="245" t="str">
        <f t="shared" si="58"/>
        <v>NO</v>
      </c>
      <c r="U1008" s="245"/>
      <c r="V1008" s="390"/>
      <c r="W1008" s="390"/>
      <c r="X1008" s="390"/>
      <c r="Y1008" s="390"/>
      <c r="Z1008" s="390"/>
      <c r="AA1008" s="390"/>
      <c r="AB1008" s="390"/>
      <c r="AC1008" s="390"/>
    </row>
    <row r="1009" spans="1:29" ht="39.950000000000003" customHeight="1">
      <c r="A1009" s="390">
        <v>1008</v>
      </c>
      <c r="B1009" s="328">
        <v>45243</v>
      </c>
      <c r="C1009" s="392">
        <v>0.3833333333333333</v>
      </c>
      <c r="D1009" s="244" t="s">
        <v>4065</v>
      </c>
      <c r="E1009" s="247" t="s">
        <v>4066</v>
      </c>
      <c r="F1009" s="390">
        <v>3</v>
      </c>
      <c r="G1009" s="390"/>
      <c r="H1009" s="391"/>
      <c r="I1009" s="391"/>
      <c r="J1009" s="391"/>
      <c r="K1009" s="390" t="str">
        <f>IFERROR(VLOOKUP(J1009,Jueces!$A$1:$B$11,2,FALSE),"")</f>
        <v/>
      </c>
      <c r="L1009" s="244" t="s">
        <v>809</v>
      </c>
      <c r="M1009" s="244" t="s">
        <v>3813</v>
      </c>
      <c r="N1009" s="390"/>
      <c r="O1009" s="244" t="str">
        <f t="shared" ca="1" si="57"/>
        <v>LIMBO</v>
      </c>
      <c r="P1009" s="244" t="str">
        <f t="shared" si="56"/>
        <v>DIANOSOL</v>
      </c>
      <c r="Q1009" s="244" t="s">
        <v>951</v>
      </c>
      <c r="R1009" s="244" t="str">
        <f>VLOOKUP($Q1009,Resultados!$A$1:$B$49,2,FALSE)</f>
        <v xml:space="preserve"> _</v>
      </c>
      <c r="S1009" s="244"/>
      <c r="T1009" s="245" t="str">
        <f t="shared" si="58"/>
        <v>NO</v>
      </c>
      <c r="U1009" s="245"/>
      <c r="V1009" s="390"/>
      <c r="W1009" s="390"/>
      <c r="X1009" s="390"/>
      <c r="Y1009" s="390"/>
      <c r="Z1009" s="390"/>
      <c r="AA1009" s="390"/>
      <c r="AB1009" s="390"/>
      <c r="AC1009" s="390"/>
    </row>
    <row r="1010" spans="1:29" ht="39.950000000000003" customHeight="1">
      <c r="A1010" s="390">
        <v>1009</v>
      </c>
      <c r="B1010" s="391">
        <v>45243</v>
      </c>
      <c r="C1010" s="392">
        <v>0.40208333333333335</v>
      </c>
      <c r="D1010" s="244" t="s">
        <v>4067</v>
      </c>
      <c r="E1010" s="247" t="s">
        <v>4120</v>
      </c>
      <c r="F1010" s="390">
        <v>3</v>
      </c>
      <c r="G1010" s="390"/>
      <c r="H1010" s="391"/>
      <c r="I1010" s="391"/>
      <c r="J1010" s="391"/>
      <c r="K1010" s="390" t="str">
        <f>IFERROR(VLOOKUP(J1010,Jueces!$A$1:$B$11,2,FALSE),"")</f>
        <v/>
      </c>
      <c r="L1010" s="244" t="s">
        <v>809</v>
      </c>
      <c r="M1010" s="244" t="s">
        <v>695</v>
      </c>
      <c r="N1010" s="390"/>
      <c r="O1010" s="244" t="str">
        <f t="shared" ca="1" si="57"/>
        <v>LIMBO</v>
      </c>
      <c r="P1010" s="244" t="str">
        <f t="shared" si="56"/>
        <v>DIANOSOL</v>
      </c>
      <c r="Q1010" s="244" t="s">
        <v>951</v>
      </c>
      <c r="R1010" s="244" t="str">
        <f>VLOOKUP($Q1010,Resultados!$A$1:$B$49,2,FALSE)</f>
        <v xml:space="preserve"> _</v>
      </c>
      <c r="S1010" s="244"/>
      <c r="T1010" s="245" t="str">
        <f t="shared" si="58"/>
        <v>NO</v>
      </c>
      <c r="U1010" s="245"/>
      <c r="V1010" s="390"/>
      <c r="W1010" s="390"/>
      <c r="X1010" s="390"/>
      <c r="Y1010" s="390"/>
      <c r="Z1010" s="390"/>
      <c r="AA1010" s="390"/>
      <c r="AB1010" s="390"/>
      <c r="AC1010" s="390"/>
    </row>
    <row r="1011" spans="1:29" ht="39.950000000000003" customHeight="1">
      <c r="A1011" s="390">
        <v>1010</v>
      </c>
      <c r="B1011" s="391">
        <v>45243</v>
      </c>
      <c r="C1011" s="392">
        <v>0.41388888888888892</v>
      </c>
      <c r="D1011" s="362" t="s">
        <v>2779</v>
      </c>
      <c r="E1011" s="247" t="s">
        <v>4069</v>
      </c>
      <c r="F1011" s="390">
        <v>7</v>
      </c>
      <c r="G1011" s="390" t="s">
        <v>568</v>
      </c>
      <c r="H1011" s="391"/>
      <c r="I1011" s="328"/>
      <c r="J1011" s="391"/>
      <c r="K1011" s="390" t="str">
        <f>IFERROR(VLOOKUP(J1011,Jueces!$A$1:$B$11,2,FALSE),"")</f>
        <v/>
      </c>
      <c r="L1011" s="244" t="s">
        <v>582</v>
      </c>
      <c r="M1011" s="396" t="s">
        <v>3425</v>
      </c>
      <c r="N1011" s="390"/>
      <c r="O1011" s="244" t="str">
        <f t="shared" ca="1" si="57"/>
        <v>LIMBO</v>
      </c>
      <c r="P1011" s="244" t="str">
        <f t="shared" si="56"/>
        <v>DIANOSOL</v>
      </c>
      <c r="Q1011" s="244" t="s">
        <v>951</v>
      </c>
      <c r="R1011" s="244" t="str">
        <f>VLOOKUP($Q1011,Resultados!$A$1:$B$49,2,FALSE)</f>
        <v xml:space="preserve"> _</v>
      </c>
      <c r="S1011" s="244"/>
      <c r="T1011" s="245" t="str">
        <f t="shared" si="58"/>
        <v>NO</v>
      </c>
      <c r="U1011" s="245"/>
      <c r="V1011" s="390"/>
      <c r="W1011" s="390"/>
      <c r="X1011" s="390"/>
      <c r="Y1011" s="390"/>
      <c r="Z1011" s="390"/>
      <c r="AA1011" s="390"/>
      <c r="AB1011" s="390"/>
      <c r="AC1011" s="390" t="s">
        <v>1799</v>
      </c>
    </row>
    <row r="1012" spans="1:29" ht="39.950000000000003" customHeight="1">
      <c r="A1012" s="390">
        <v>1011</v>
      </c>
      <c r="B1012" s="391">
        <v>45243</v>
      </c>
      <c r="C1012" s="392">
        <v>0.5131944444444444</v>
      </c>
      <c r="D1012" s="244" t="s">
        <v>4093</v>
      </c>
      <c r="E1012" s="247" t="s">
        <v>4094</v>
      </c>
      <c r="F1012" s="390">
        <v>4</v>
      </c>
      <c r="G1012" s="390"/>
      <c r="H1012" s="391"/>
      <c r="I1012" s="391"/>
      <c r="J1012" s="391"/>
      <c r="K1012" s="390" t="str">
        <f>IFERROR(VLOOKUP(J1012,Jueces!$A$1:$B$11,2,FALSE),"")</f>
        <v/>
      </c>
      <c r="L1012" s="244" t="s">
        <v>811</v>
      </c>
      <c r="M1012" s="244" t="s">
        <v>1964</v>
      </c>
      <c r="N1012" s="390"/>
      <c r="O1012" s="244" t="str">
        <f t="shared" ca="1" si="57"/>
        <v>LIMBO</v>
      </c>
      <c r="P1012" s="244" t="str">
        <f t="shared" si="56"/>
        <v>DIANOSOL</v>
      </c>
      <c r="Q1012" s="244" t="s">
        <v>951</v>
      </c>
      <c r="R1012" s="244" t="str">
        <f>VLOOKUP($Q1012,Resultados!$A$1:$B$49,2,FALSE)</f>
        <v xml:space="preserve"> _</v>
      </c>
      <c r="S1012" s="244"/>
      <c r="T1012" s="245" t="str">
        <f t="shared" si="58"/>
        <v>NO</v>
      </c>
      <c r="U1012" s="245"/>
      <c r="V1012" s="390"/>
      <c r="W1012" s="390"/>
      <c r="X1012" s="390"/>
      <c r="Y1012" s="390"/>
      <c r="Z1012" s="390"/>
      <c r="AA1012" s="390"/>
      <c r="AB1012" s="390"/>
      <c r="AC1012" s="390"/>
    </row>
    <row r="1013" spans="1:29" ht="39.950000000000003" customHeight="1">
      <c r="A1013" s="390">
        <v>1014</v>
      </c>
      <c r="B1013" s="391">
        <v>45244</v>
      </c>
      <c r="C1013" s="392">
        <v>0.4145833333333333</v>
      </c>
      <c r="D1013" s="244" t="s">
        <v>4180</v>
      </c>
      <c r="E1013" s="247" t="s">
        <v>4100</v>
      </c>
      <c r="F1013" s="390">
        <v>4</v>
      </c>
      <c r="G1013" s="390"/>
      <c r="H1013" s="391"/>
      <c r="I1013" s="391"/>
      <c r="J1013" s="391"/>
      <c r="K1013" s="390" t="str">
        <f>IFERROR(VLOOKUP(J1013,Jueces!$A$1:$B$11,2,FALSE),"")</f>
        <v/>
      </c>
      <c r="L1013" s="244" t="s">
        <v>791</v>
      </c>
      <c r="M1013" s="458" t="s">
        <v>4181</v>
      </c>
      <c r="N1013" s="390"/>
      <c r="O1013" s="244" t="str">
        <f t="shared" ca="1" si="57"/>
        <v>LIMBO</v>
      </c>
      <c r="P1013" s="244" t="str">
        <f t="shared" si="56"/>
        <v>DIANOSOL</v>
      </c>
      <c r="Q1013" s="244" t="s">
        <v>951</v>
      </c>
      <c r="R1013" s="244" t="str">
        <f>VLOOKUP($Q1013,Resultados!$A$1:$B$49,2,FALSE)</f>
        <v xml:space="preserve"> _</v>
      </c>
      <c r="S1013" s="244"/>
      <c r="T1013" s="245" t="str">
        <f t="shared" si="58"/>
        <v>NO</v>
      </c>
      <c r="U1013" s="245"/>
      <c r="V1013" s="390"/>
      <c r="W1013" s="390"/>
      <c r="X1013" s="390"/>
      <c r="Y1013" s="390"/>
      <c r="Z1013" s="390"/>
      <c r="AA1013" s="390"/>
      <c r="AB1013" s="390"/>
      <c r="AC1013" s="390"/>
    </row>
    <row r="1014" spans="1:29" ht="39.950000000000003" customHeight="1">
      <c r="A1014" s="363">
        <v>1015</v>
      </c>
      <c r="B1014" s="382">
        <v>45244</v>
      </c>
      <c r="C1014" s="383">
        <v>0.38541666666666669</v>
      </c>
      <c r="D1014" s="172" t="s">
        <v>4101</v>
      </c>
      <c r="E1014" s="173" t="s">
        <v>4102</v>
      </c>
      <c r="F1014" s="363">
        <v>4</v>
      </c>
      <c r="G1014" s="363"/>
      <c r="H1014" s="382"/>
      <c r="I1014" s="382"/>
      <c r="J1014" s="382"/>
      <c r="K1014" s="363" t="str">
        <f>IFERROR(VLOOKUP(J1014,Jueces!$A$1:$B$11,2,FALSE),"")</f>
        <v/>
      </c>
      <c r="L1014" s="172" t="s">
        <v>814</v>
      </c>
      <c r="M1014" s="172"/>
      <c r="N1014" s="363"/>
      <c r="O1014" s="172" t="str">
        <f t="shared" ca="1" si="57"/>
        <v>LIMBO</v>
      </c>
      <c r="P1014" s="172" t="str">
        <f t="shared" si="56"/>
        <v>DIANOSOL</v>
      </c>
      <c r="Q1014" s="172" t="s">
        <v>951</v>
      </c>
      <c r="R1014" s="172" t="str">
        <f>VLOOKUP($Q1014,Resultados!$A$1:$B$49,2,FALSE)</f>
        <v xml:space="preserve"> _</v>
      </c>
      <c r="S1014" s="172"/>
      <c r="T1014" s="174" t="str">
        <f t="shared" si="58"/>
        <v>NO</v>
      </c>
      <c r="U1014" s="174"/>
      <c r="V1014" s="363"/>
      <c r="W1014" s="363"/>
      <c r="X1014" s="363"/>
      <c r="Y1014" s="363"/>
      <c r="Z1014" s="363"/>
      <c r="AA1014" s="363"/>
      <c r="AB1014" s="363"/>
      <c r="AC1014" s="363"/>
    </row>
    <row r="1015" spans="1:29" ht="39.950000000000003" customHeight="1">
      <c r="A1015" s="390">
        <v>1016</v>
      </c>
      <c r="B1015" s="391">
        <v>45244</v>
      </c>
      <c r="C1015" s="392">
        <v>0.3833333333333333</v>
      </c>
      <c r="D1015" s="244" t="s">
        <v>4185</v>
      </c>
      <c r="E1015" s="247" t="s">
        <v>4103</v>
      </c>
      <c r="F1015" s="244">
        <v>4</v>
      </c>
      <c r="G1015" s="390"/>
      <c r="H1015" s="391"/>
      <c r="I1015" s="391"/>
      <c r="J1015" s="391"/>
      <c r="K1015" s="390" t="str">
        <f>IFERROR(VLOOKUP(J1015,Jueces!$A$1:$B$11,2,FALSE),"")</f>
        <v/>
      </c>
      <c r="L1015" s="244" t="s">
        <v>809</v>
      </c>
      <c r="M1015" s="244" t="s">
        <v>1964</v>
      </c>
      <c r="N1015" s="390"/>
      <c r="O1015" s="244" t="str">
        <f t="shared" ca="1" si="57"/>
        <v>LIMBO</v>
      </c>
      <c r="P1015" s="244" t="str">
        <f t="shared" si="56"/>
        <v>DIANOSOL</v>
      </c>
      <c r="Q1015" s="244" t="s">
        <v>951</v>
      </c>
      <c r="R1015" s="244" t="str">
        <f>VLOOKUP($Q1015,Resultados!$A$1:$B$49,2,FALSE)</f>
        <v xml:space="preserve"> _</v>
      </c>
      <c r="S1015" s="244"/>
      <c r="T1015" s="245" t="str">
        <f t="shared" si="58"/>
        <v>NO</v>
      </c>
      <c r="U1015" s="245"/>
      <c r="V1015" s="390"/>
      <c r="W1015" s="390"/>
      <c r="X1015" s="390"/>
      <c r="Y1015" s="390"/>
      <c r="Z1015" s="390"/>
      <c r="AA1015" s="390"/>
      <c r="AB1015" s="390"/>
      <c r="AC1015" s="390"/>
    </row>
    <row r="1016" spans="1:29" ht="39.950000000000003" customHeight="1">
      <c r="A1016" s="363">
        <v>1017</v>
      </c>
      <c r="B1016" s="382">
        <v>45244</v>
      </c>
      <c r="C1016" s="383">
        <v>0.38125000000000003</v>
      </c>
      <c r="D1016" s="172" t="s">
        <v>4104</v>
      </c>
      <c r="E1016" s="173" t="s">
        <v>4105</v>
      </c>
      <c r="F1016" s="363">
        <v>4</v>
      </c>
      <c r="G1016" s="363"/>
      <c r="H1016" s="382"/>
      <c r="I1016" s="382"/>
      <c r="J1016" s="382"/>
      <c r="K1016" s="363" t="str">
        <f>IFERROR(VLOOKUP(J1016,Jueces!$A$1:$B$11,2,FALSE),"")</f>
        <v/>
      </c>
      <c r="L1016" s="172" t="s">
        <v>812</v>
      </c>
      <c r="M1016" s="172"/>
      <c r="N1016" s="363"/>
      <c r="O1016" s="172" t="str">
        <f t="shared" ca="1" si="57"/>
        <v>LIMBO</v>
      </c>
      <c r="P1016" s="172" t="str">
        <f t="shared" si="56"/>
        <v>DIANOSOL</v>
      </c>
      <c r="Q1016" s="172" t="s">
        <v>951</v>
      </c>
      <c r="R1016" s="172" t="str">
        <f>VLOOKUP($Q1016,Resultados!$A$1:$B$49,2,FALSE)</f>
        <v xml:space="preserve"> _</v>
      </c>
      <c r="S1016" s="172"/>
      <c r="T1016" s="174" t="str">
        <f t="shared" si="58"/>
        <v>NO</v>
      </c>
      <c r="U1016" s="174"/>
      <c r="V1016" s="363"/>
      <c r="W1016" s="363"/>
      <c r="X1016" s="363"/>
      <c r="Y1016" s="363"/>
      <c r="Z1016" s="363"/>
      <c r="AA1016" s="363"/>
      <c r="AB1016" s="363"/>
      <c r="AC1016" s="363"/>
    </row>
    <row r="1017" spans="1:29" ht="39.950000000000003" customHeight="1">
      <c r="A1017" s="363">
        <v>1018</v>
      </c>
      <c r="B1017" s="382">
        <v>45244</v>
      </c>
      <c r="C1017" s="383">
        <v>0.37777777777777777</v>
      </c>
      <c r="D1017" s="172" t="s">
        <v>4106</v>
      </c>
      <c r="E1017" s="173" t="s">
        <v>4107</v>
      </c>
      <c r="F1017" s="363">
        <v>4</v>
      </c>
      <c r="G1017" s="363"/>
      <c r="H1017" s="382"/>
      <c r="I1017" s="382"/>
      <c r="J1017" s="382"/>
      <c r="K1017" s="363" t="str">
        <f>IFERROR(VLOOKUP(J1017,Jueces!$A$1:$B$11,2,FALSE),"")</f>
        <v/>
      </c>
      <c r="L1017" s="172" t="s">
        <v>801</v>
      </c>
      <c r="M1017" s="172"/>
      <c r="N1017" s="363"/>
      <c r="O1017" s="172" t="str">
        <f t="shared" ca="1" si="57"/>
        <v>LIMBO</v>
      </c>
      <c r="P1017" s="172" t="str">
        <f t="shared" si="56"/>
        <v>DIANOSOL</v>
      </c>
      <c r="Q1017" s="172" t="s">
        <v>951</v>
      </c>
      <c r="R1017" s="172" t="str">
        <f>VLOOKUP($Q1017,Resultados!$A$1:$B$49,2,FALSE)</f>
        <v xml:space="preserve"> _</v>
      </c>
      <c r="S1017" s="172"/>
      <c r="T1017" s="174" t="str">
        <f t="shared" si="58"/>
        <v>NO</v>
      </c>
      <c r="U1017" s="174"/>
      <c r="V1017" s="363"/>
      <c r="W1017" s="363"/>
      <c r="X1017" s="363"/>
      <c r="Y1017" s="363"/>
      <c r="Z1017" s="363"/>
      <c r="AA1017" s="363"/>
      <c r="AB1017" s="363"/>
      <c r="AC1017" s="363"/>
    </row>
    <row r="1018" spans="1:29" ht="39.950000000000003" customHeight="1">
      <c r="A1018" s="363">
        <v>1019</v>
      </c>
      <c r="B1018" s="382">
        <v>45244</v>
      </c>
      <c r="C1018" s="383">
        <v>0.33333333333333331</v>
      </c>
      <c r="D1018" s="172" t="s">
        <v>4108</v>
      </c>
      <c r="E1018" s="173" t="s">
        <v>4109</v>
      </c>
      <c r="F1018" s="363">
        <v>4</v>
      </c>
      <c r="G1018" s="363"/>
      <c r="H1018" s="382"/>
      <c r="I1018" s="382"/>
      <c r="J1018" s="382"/>
      <c r="K1018" s="363" t="str">
        <f>IFERROR(VLOOKUP(J1018,Jueces!$A$1:$B$11,2,FALSE),"")</f>
        <v/>
      </c>
      <c r="L1018" s="172" t="s">
        <v>799</v>
      </c>
      <c r="M1018" s="172"/>
      <c r="N1018" s="363"/>
      <c r="O1018" s="172" t="str">
        <f t="shared" ca="1" si="57"/>
        <v>LIMBO</v>
      </c>
      <c r="P1018" s="172" t="str">
        <f t="shared" si="56"/>
        <v>DIANOSOL</v>
      </c>
      <c r="Q1018" s="172" t="s">
        <v>951</v>
      </c>
      <c r="R1018" s="172" t="str">
        <f>VLOOKUP($Q1018,Resultados!$A$1:$B$49,2,FALSE)</f>
        <v xml:space="preserve"> _</v>
      </c>
      <c r="S1018" s="172"/>
      <c r="T1018" s="174" t="str">
        <f t="shared" si="58"/>
        <v>NO</v>
      </c>
      <c r="U1018" s="174"/>
      <c r="V1018" s="363"/>
      <c r="W1018" s="363"/>
      <c r="X1018" s="363"/>
      <c r="Y1018" s="363"/>
      <c r="Z1018" s="363"/>
      <c r="AA1018" s="363"/>
      <c r="AB1018" s="363"/>
      <c r="AC1018" s="363"/>
    </row>
    <row r="1019" spans="1:29" ht="39.950000000000003" customHeight="1">
      <c r="A1019" s="390">
        <v>1019</v>
      </c>
      <c r="B1019" s="391">
        <v>45244</v>
      </c>
      <c r="C1019" s="392">
        <v>0.53125</v>
      </c>
      <c r="D1019" s="244" t="s">
        <v>4118</v>
      </c>
      <c r="E1019" s="247" t="s">
        <v>4119</v>
      </c>
      <c r="F1019" s="390">
        <v>3</v>
      </c>
      <c r="G1019" s="390"/>
      <c r="H1019" s="391"/>
      <c r="I1019" s="391"/>
      <c r="J1019" s="391"/>
      <c r="K1019" s="390" t="str">
        <f>IFERROR(VLOOKUP(J1019,Jueces!$A$1:$B$11,2,FALSE),"")</f>
        <v/>
      </c>
      <c r="L1019" s="244" t="s">
        <v>582</v>
      </c>
      <c r="M1019" s="393" t="s">
        <v>3438</v>
      </c>
      <c r="N1019" s="244" t="s">
        <v>4171</v>
      </c>
      <c r="O1019" s="244" t="str">
        <f t="shared" ca="1" si="57"/>
        <v>LIMBO</v>
      </c>
      <c r="P1019" s="244" t="str">
        <f t="shared" si="56"/>
        <v>DIANOSOL</v>
      </c>
      <c r="Q1019" s="244" t="s">
        <v>951</v>
      </c>
      <c r="R1019" s="244" t="str">
        <f>VLOOKUP($Q1019,Resultados!$A$1:$B$49,2,FALSE)</f>
        <v xml:space="preserve"> _</v>
      </c>
      <c r="S1019" s="244"/>
      <c r="T1019" s="245" t="str">
        <f t="shared" si="58"/>
        <v>NO</v>
      </c>
      <c r="U1019" s="245"/>
      <c r="V1019" s="390"/>
      <c r="W1019" s="390"/>
      <c r="X1019" s="390"/>
      <c r="Y1019" s="390"/>
      <c r="Z1019" s="390"/>
      <c r="AA1019" s="390"/>
      <c r="AB1019" s="390"/>
      <c r="AC1019" s="390"/>
    </row>
    <row r="1020" spans="1:29" ht="39.950000000000003" customHeight="1">
      <c r="A1020" s="363">
        <v>1020</v>
      </c>
      <c r="B1020" s="382">
        <v>45244</v>
      </c>
      <c r="C1020" s="383">
        <v>0.5395833333333333</v>
      </c>
      <c r="D1020" s="172" t="s">
        <v>4123</v>
      </c>
      <c r="E1020" s="173" t="s">
        <v>4124</v>
      </c>
      <c r="F1020" s="363">
        <v>4</v>
      </c>
      <c r="G1020" s="363"/>
      <c r="H1020" s="382"/>
      <c r="I1020" s="382"/>
      <c r="J1020" s="382"/>
      <c r="K1020" s="363" t="str">
        <f>IFERROR(VLOOKUP(J1020,Jueces!$A$1:$B$11,2,FALSE),"")</f>
        <v/>
      </c>
      <c r="L1020" s="172" t="s">
        <v>807</v>
      </c>
      <c r="M1020" s="172"/>
      <c r="N1020" s="363"/>
      <c r="O1020" s="172" t="str">
        <f t="shared" ca="1" si="57"/>
        <v>LIMBO</v>
      </c>
      <c r="P1020" s="172" t="str">
        <f t="shared" si="56"/>
        <v>DIANOSOL</v>
      </c>
      <c r="Q1020" s="172" t="s">
        <v>951</v>
      </c>
      <c r="R1020" s="172" t="str">
        <f>VLOOKUP($Q1020,Resultados!$A$1:$B$49,2,FALSE)</f>
        <v xml:space="preserve"> _</v>
      </c>
      <c r="S1020" s="172"/>
      <c r="T1020" s="174" t="str">
        <f t="shared" si="58"/>
        <v>NO</v>
      </c>
      <c r="U1020" s="174"/>
      <c r="V1020" s="363"/>
      <c r="W1020" s="363"/>
      <c r="X1020" s="363"/>
      <c r="Y1020" s="363"/>
      <c r="Z1020" s="363"/>
      <c r="AA1020" s="363"/>
      <c r="AB1020" s="363"/>
      <c r="AC1020" s="363"/>
    </row>
    <row r="1021" spans="1:29" ht="39.950000000000003" customHeight="1">
      <c r="A1021" s="390">
        <v>1021</v>
      </c>
      <c r="B1021" s="391">
        <v>45245</v>
      </c>
      <c r="C1021" s="392">
        <v>0.39513888888888887</v>
      </c>
      <c r="D1021" s="244" t="s">
        <v>4125</v>
      </c>
      <c r="E1021" s="247" t="s">
        <v>4126</v>
      </c>
      <c r="F1021" s="390">
        <v>4</v>
      </c>
      <c r="G1021" s="390"/>
      <c r="H1021" s="391"/>
      <c r="I1021" s="391"/>
      <c r="J1021" s="391"/>
      <c r="K1021" s="390" t="str">
        <f>IFERROR(VLOOKUP(J1021,Jueces!$A$1:$B$11,2,FALSE),"")</f>
        <v/>
      </c>
      <c r="L1021" s="244" t="s">
        <v>803</v>
      </c>
      <c r="M1021" s="244" t="s">
        <v>1964</v>
      </c>
      <c r="N1021" s="390"/>
      <c r="O1021" s="244" t="str">
        <f t="shared" ca="1" si="57"/>
        <v>LIMBO</v>
      </c>
      <c r="P1021" s="244" t="str">
        <f t="shared" si="56"/>
        <v>DIANOSOL</v>
      </c>
      <c r="Q1021" s="244" t="s">
        <v>951</v>
      </c>
      <c r="R1021" s="244" t="str">
        <f>VLOOKUP($Q1021,Resultados!$A$1:$B$49,2,FALSE)</f>
        <v xml:space="preserve"> _</v>
      </c>
      <c r="S1021" s="244"/>
      <c r="T1021" s="245" t="str">
        <f t="shared" si="58"/>
        <v>NO</v>
      </c>
      <c r="U1021" s="245"/>
      <c r="V1021" s="390"/>
      <c r="W1021" s="390"/>
      <c r="X1021" s="390"/>
      <c r="Y1021" s="390"/>
      <c r="Z1021" s="390"/>
      <c r="AA1021" s="390"/>
      <c r="AB1021" s="390"/>
      <c r="AC1021" s="390"/>
    </row>
    <row r="1022" spans="1:29" ht="39.950000000000003" customHeight="1">
      <c r="A1022" s="390">
        <v>1022</v>
      </c>
      <c r="B1022" s="391">
        <v>45245</v>
      </c>
      <c r="C1022" s="392">
        <v>0.41736111111111113</v>
      </c>
      <c r="D1022" s="244" t="s">
        <v>4128</v>
      </c>
      <c r="E1022" s="247" t="s">
        <v>4130</v>
      </c>
      <c r="F1022" s="390">
        <v>8</v>
      </c>
      <c r="G1022" s="390"/>
      <c r="H1022" s="391"/>
      <c r="I1022" s="391"/>
      <c r="J1022" s="391"/>
      <c r="K1022" s="390" t="str">
        <f>IFERROR(VLOOKUP(J1022,Jueces!$A$1:$B$11,2,FALSE),"")</f>
        <v/>
      </c>
      <c r="L1022" s="244" t="s">
        <v>2092</v>
      </c>
      <c r="M1022" s="394" t="s">
        <v>4129</v>
      </c>
      <c r="N1022" s="390"/>
      <c r="O1022" s="244" t="str">
        <f t="shared" ca="1" si="57"/>
        <v>LIMBO</v>
      </c>
      <c r="P1022" s="244" t="str">
        <f t="shared" si="56"/>
        <v>DIANOSOL</v>
      </c>
      <c r="Q1022" s="244" t="s">
        <v>951</v>
      </c>
      <c r="R1022" s="244" t="str">
        <f>VLOOKUP($Q1022,Resultados!$A$1:$B$49,2,FALSE)</f>
        <v xml:space="preserve"> _</v>
      </c>
      <c r="S1022" s="244"/>
      <c r="T1022" s="245" t="str">
        <f t="shared" si="58"/>
        <v>NO</v>
      </c>
      <c r="U1022" s="245"/>
      <c r="V1022" s="390"/>
      <c r="W1022" s="390"/>
      <c r="X1022" s="390"/>
      <c r="Y1022" s="390"/>
      <c r="Z1022" s="390"/>
      <c r="AA1022" s="390"/>
      <c r="AB1022" s="390"/>
      <c r="AC1022" s="390"/>
    </row>
    <row r="1023" spans="1:29" ht="39.950000000000003" customHeight="1">
      <c r="A1023" s="390">
        <v>1020</v>
      </c>
      <c r="B1023" s="391">
        <v>45245</v>
      </c>
      <c r="C1023" s="392">
        <v>0.44930555555555557</v>
      </c>
      <c r="D1023" s="244" t="s">
        <v>4132</v>
      </c>
      <c r="E1023" s="247" t="s">
        <v>4133</v>
      </c>
      <c r="F1023" s="390">
        <v>3</v>
      </c>
      <c r="G1023" s="390"/>
      <c r="H1023" s="391"/>
      <c r="I1023" s="391"/>
      <c r="J1023" s="391"/>
      <c r="K1023" s="390" t="str">
        <f>IFERROR(VLOOKUP(J1023,Jueces!$A$1:$B$11,2,FALSE),"")</f>
        <v/>
      </c>
      <c r="L1023" s="244" t="s">
        <v>4134</v>
      </c>
      <c r="M1023" s="244" t="s">
        <v>3813</v>
      </c>
      <c r="N1023" s="390"/>
      <c r="O1023" s="244" t="str">
        <f t="shared" ca="1" si="57"/>
        <v>LIMBO</v>
      </c>
      <c r="P1023" s="244" t="str">
        <f t="shared" si="56"/>
        <v>DIANOSOL</v>
      </c>
      <c r="Q1023" s="244" t="s">
        <v>951</v>
      </c>
      <c r="R1023" s="244" t="str">
        <f>VLOOKUP($Q1023,Resultados!$A$1:$B$49,2,FALSE)</f>
        <v xml:space="preserve"> _</v>
      </c>
      <c r="S1023" s="244"/>
      <c r="T1023" s="245" t="str">
        <f t="shared" si="58"/>
        <v>NO</v>
      </c>
      <c r="U1023" s="245"/>
      <c r="V1023" s="390"/>
      <c r="W1023" s="390"/>
      <c r="X1023" s="390"/>
      <c r="Y1023" s="390"/>
      <c r="Z1023" s="390"/>
      <c r="AA1023" s="390"/>
      <c r="AB1023" s="390"/>
      <c r="AC1023" s="390"/>
    </row>
    <row r="1024" spans="1:29" ht="39.950000000000003" customHeight="1">
      <c r="A1024" s="390">
        <v>1022</v>
      </c>
      <c r="B1024" s="391">
        <v>45245</v>
      </c>
      <c r="C1024" s="392">
        <v>0.33611111111111108</v>
      </c>
      <c r="D1024" s="390" t="s">
        <v>4136</v>
      </c>
      <c r="E1024" s="413" t="s">
        <v>4137</v>
      </c>
      <c r="F1024" s="390">
        <v>5</v>
      </c>
      <c r="G1024" s="390"/>
      <c r="H1024" s="391"/>
      <c r="I1024" s="391"/>
      <c r="J1024" s="391"/>
      <c r="K1024" s="390" t="str">
        <f>IFERROR(VLOOKUP(J1024,Jueces!$A$1:$B$11,2,FALSE),"")</f>
        <v/>
      </c>
      <c r="L1024" s="244" t="s">
        <v>800</v>
      </c>
      <c r="M1024" s="244" t="s">
        <v>1874</v>
      </c>
      <c r="N1024" s="390"/>
      <c r="O1024" s="244" t="str">
        <f t="shared" ca="1" si="57"/>
        <v>LIMBO</v>
      </c>
      <c r="P1024" s="244" t="str">
        <f t="shared" si="56"/>
        <v>DIANOSOL</v>
      </c>
      <c r="Q1024" s="244" t="s">
        <v>951</v>
      </c>
      <c r="R1024" s="244" t="str">
        <f>VLOOKUP($Q1024,Resultados!$A$1:$B$49,2,FALSE)</f>
        <v xml:space="preserve"> _</v>
      </c>
      <c r="S1024" s="244"/>
      <c r="T1024" s="245" t="str">
        <f t="shared" si="58"/>
        <v>NO</v>
      </c>
      <c r="U1024" s="245"/>
      <c r="V1024" s="390"/>
      <c r="W1024" s="390"/>
      <c r="X1024" s="390"/>
      <c r="Y1024" s="390"/>
      <c r="Z1024" s="390"/>
      <c r="AA1024" s="390"/>
      <c r="AB1024" s="390"/>
      <c r="AC1024" s="390"/>
    </row>
    <row r="1025" spans="1:29" ht="39.950000000000003" customHeight="1">
      <c r="A1025" s="363">
        <v>1023</v>
      </c>
      <c r="B1025" s="382">
        <v>45246</v>
      </c>
      <c r="C1025" s="453">
        <v>0.47916666666666669</v>
      </c>
      <c r="D1025" s="363" t="s">
        <v>2517</v>
      </c>
      <c r="E1025" s="454" t="s">
        <v>2621</v>
      </c>
      <c r="F1025" s="363">
        <v>5</v>
      </c>
      <c r="G1025" s="363"/>
      <c r="H1025" s="382"/>
      <c r="I1025" s="382"/>
      <c r="J1025" s="382"/>
      <c r="K1025" s="363" t="str">
        <f>IFERROR(VLOOKUP(J1025,Jueces!$A$1:$B$11,2,FALSE),"")</f>
        <v/>
      </c>
      <c r="L1025" s="172" t="s">
        <v>569</v>
      </c>
      <c r="M1025" s="172" t="s">
        <v>2123</v>
      </c>
      <c r="N1025" s="363" t="s">
        <v>2518</v>
      </c>
      <c r="O1025" s="172" t="str">
        <f t="shared" ca="1" si="57"/>
        <v>LIMBO</v>
      </c>
      <c r="P1025" s="172" t="str">
        <f t="shared" si="56"/>
        <v>DIANOSOL</v>
      </c>
      <c r="Q1025" s="172" t="s">
        <v>951</v>
      </c>
      <c r="R1025" s="172" t="str">
        <f>VLOOKUP($Q1025,Resultados!$A$1:$B$49,2,FALSE)</f>
        <v xml:space="preserve"> _</v>
      </c>
      <c r="S1025" s="172"/>
      <c r="T1025" s="174" t="str">
        <f t="shared" si="58"/>
        <v>NO</v>
      </c>
      <c r="U1025" s="174"/>
      <c r="V1025" s="363"/>
      <c r="W1025" s="363"/>
      <c r="X1025" s="363"/>
      <c r="Y1025" s="363"/>
      <c r="Z1025" s="363"/>
      <c r="AA1025" s="363"/>
      <c r="AB1025" s="363"/>
      <c r="AC1025" s="363"/>
    </row>
    <row r="1026" spans="1:29" ht="39.950000000000003" customHeight="1">
      <c r="A1026" s="390">
        <v>1024</v>
      </c>
      <c r="B1026" s="391">
        <v>45245</v>
      </c>
      <c r="C1026" s="392">
        <v>0.53749999999999998</v>
      </c>
      <c r="D1026" s="244" t="s">
        <v>4172</v>
      </c>
      <c r="E1026" s="247" t="s">
        <v>4173</v>
      </c>
      <c r="F1026" s="390">
        <v>4</v>
      </c>
      <c r="G1026" s="390"/>
      <c r="H1026" s="391"/>
      <c r="I1026" s="391"/>
      <c r="J1026" s="391"/>
      <c r="K1026" s="390" t="str">
        <f>IFERROR(VLOOKUP(J1026,Jueces!$A$1:$B$11,2,FALSE),"")</f>
        <v/>
      </c>
      <c r="L1026" s="244" t="s">
        <v>798</v>
      </c>
      <c r="M1026" s="244" t="s">
        <v>3813</v>
      </c>
      <c r="N1026" s="390"/>
      <c r="O1026" s="244" t="str">
        <f t="shared" ca="1" si="57"/>
        <v>LIMBO</v>
      </c>
      <c r="P1026" s="244" t="str">
        <f t="shared" si="56"/>
        <v>DIANOSOL</v>
      </c>
      <c r="Q1026" s="244" t="s">
        <v>951</v>
      </c>
      <c r="R1026" s="244" t="str">
        <f>VLOOKUP($Q1026,Resultados!$A$1:$B$49,2,FALSE)</f>
        <v xml:space="preserve"> _</v>
      </c>
      <c r="S1026" s="244"/>
      <c r="T1026" s="245" t="str">
        <f t="shared" si="58"/>
        <v>NO</v>
      </c>
      <c r="U1026" s="245"/>
      <c r="V1026" s="390"/>
      <c r="W1026" s="390"/>
      <c r="X1026" s="390"/>
      <c r="Y1026" s="390"/>
      <c r="Z1026" s="390"/>
      <c r="AA1026" s="390"/>
      <c r="AB1026" s="390"/>
      <c r="AC1026" s="390"/>
    </row>
    <row r="1027" spans="1:29" ht="39.950000000000003" customHeight="1">
      <c r="A1027" s="363">
        <v>1025</v>
      </c>
      <c r="B1027" s="382">
        <v>45245</v>
      </c>
      <c r="C1027" s="383">
        <v>0.52013888888888882</v>
      </c>
      <c r="D1027" s="172" t="s">
        <v>4174</v>
      </c>
      <c r="E1027" s="173" t="s">
        <v>4175</v>
      </c>
      <c r="F1027" s="363">
        <v>4</v>
      </c>
      <c r="G1027" s="363"/>
      <c r="H1027" s="382"/>
      <c r="I1027" s="382"/>
      <c r="J1027" s="382"/>
      <c r="K1027" s="363" t="str">
        <f>IFERROR(VLOOKUP(J1027,Jueces!$A$1:$B$11,2,FALSE),"")</f>
        <v/>
      </c>
      <c r="L1027" s="172" t="s">
        <v>801</v>
      </c>
      <c r="M1027" s="172"/>
      <c r="N1027" s="363"/>
      <c r="O1027" s="172" t="str">
        <f t="shared" ca="1" si="57"/>
        <v>LIMBO</v>
      </c>
      <c r="P1027" s="172" t="str">
        <f t="shared" ref="P1027:P1040" si="59">IF($P$1=H1027,"DIASOL", "DIANOSOL")</f>
        <v>DIANOSOL</v>
      </c>
      <c r="Q1027" s="172" t="s">
        <v>951</v>
      </c>
      <c r="R1027" s="172" t="str">
        <f>VLOOKUP($Q1027,Resultados!$A$1:$B$49,2,FALSE)</f>
        <v xml:space="preserve"> _</v>
      </c>
      <c r="S1027" s="172"/>
      <c r="T1027" s="174" t="str">
        <f t="shared" si="58"/>
        <v>NO</v>
      </c>
      <c r="U1027" s="174"/>
      <c r="V1027" s="363"/>
      <c r="W1027" s="363"/>
      <c r="X1027" s="363"/>
      <c r="Y1027" s="363"/>
      <c r="Z1027" s="363"/>
      <c r="AA1027" s="363"/>
      <c r="AB1027" s="363"/>
      <c r="AC1027" s="363"/>
    </row>
    <row r="1028" spans="1:29" ht="39.950000000000003" customHeight="1">
      <c r="A1028" s="390">
        <v>1026</v>
      </c>
      <c r="B1028" s="391">
        <v>45245</v>
      </c>
      <c r="C1028" s="392">
        <v>0.33611111111111108</v>
      </c>
      <c r="D1028" s="244" t="s">
        <v>4176</v>
      </c>
      <c r="E1028" s="247" t="s">
        <v>4177</v>
      </c>
      <c r="F1028" s="390">
        <v>5</v>
      </c>
      <c r="G1028" s="390"/>
      <c r="H1028" s="391"/>
      <c r="I1028" s="391"/>
      <c r="J1028" s="391" t="s">
        <v>1219</v>
      </c>
      <c r="K1028" s="390">
        <f>IFERROR(VLOOKUP(J1028,Jueces!$A$1:$B$11,2,FALSE),"")</f>
        <v>1</v>
      </c>
      <c r="L1028" s="244" t="s">
        <v>800</v>
      </c>
      <c r="M1028" s="244" t="s">
        <v>1874</v>
      </c>
      <c r="N1028" s="457" t="s">
        <v>4208</v>
      </c>
      <c r="O1028" s="244" t="str">
        <f t="shared" ca="1" si="57"/>
        <v>LIMBO</v>
      </c>
      <c r="P1028" s="244" t="str">
        <f t="shared" si="59"/>
        <v>DIANOSOL</v>
      </c>
      <c r="Q1028" s="244" t="s">
        <v>951</v>
      </c>
      <c r="R1028" s="244" t="str">
        <f>VLOOKUP($Q1028,Resultados!$A$1:$B$49,2,FALSE)</f>
        <v xml:space="preserve"> _</v>
      </c>
      <c r="S1028" s="244"/>
      <c r="T1028" s="245" t="str">
        <f t="shared" si="58"/>
        <v>NO</v>
      </c>
      <c r="U1028" s="245"/>
      <c r="V1028" s="390"/>
      <c r="W1028" s="390"/>
      <c r="X1028" s="390"/>
      <c r="Y1028" s="390"/>
      <c r="Z1028" s="390"/>
      <c r="AA1028" s="390"/>
      <c r="AB1028" s="390"/>
      <c r="AC1028" s="390"/>
    </row>
    <row r="1029" spans="1:29" ht="39.950000000000003" customHeight="1">
      <c r="A1029" s="390">
        <v>1027</v>
      </c>
      <c r="B1029" s="391">
        <v>45245</v>
      </c>
      <c r="C1029" s="392">
        <v>0.49305555555555558</v>
      </c>
      <c r="D1029" s="244" t="s">
        <v>4182</v>
      </c>
      <c r="E1029" s="247" t="s">
        <v>4183</v>
      </c>
      <c r="F1029" s="390">
        <v>4</v>
      </c>
      <c r="G1029" s="390"/>
      <c r="H1029" s="391"/>
      <c r="I1029" s="391"/>
      <c r="J1029" s="391"/>
      <c r="K1029" s="390" t="str">
        <f>IFERROR(VLOOKUP(J1029,Jueces!$A$1:$B$11,2,FALSE),"")</f>
        <v/>
      </c>
      <c r="L1029" s="244" t="s">
        <v>810</v>
      </c>
      <c r="M1029" s="459" t="s">
        <v>4184</v>
      </c>
      <c r="N1029" s="390"/>
      <c r="O1029" s="244" t="str">
        <f t="shared" ca="1" si="57"/>
        <v>LIMBO</v>
      </c>
      <c r="P1029" s="244" t="str">
        <f t="shared" si="59"/>
        <v>DIANOSOL</v>
      </c>
      <c r="Q1029" s="244" t="s">
        <v>951</v>
      </c>
      <c r="R1029" s="244" t="str">
        <f>VLOOKUP($Q1029,Resultados!$A$1:$B$49,2,FALSE)</f>
        <v xml:space="preserve"> _</v>
      </c>
      <c r="S1029" s="244"/>
      <c r="T1029" s="245" t="str">
        <f t="shared" si="58"/>
        <v>NO</v>
      </c>
      <c r="U1029" s="245"/>
      <c r="V1029" s="390"/>
      <c r="W1029" s="390"/>
      <c r="X1029" s="390"/>
      <c r="Y1029" s="390"/>
      <c r="Z1029" s="390"/>
      <c r="AA1029" s="390"/>
      <c r="AB1029" s="390"/>
      <c r="AC1029" s="390"/>
    </row>
    <row r="1030" spans="1:29" ht="39.950000000000003" customHeight="1">
      <c r="A1030" s="363">
        <v>1028</v>
      </c>
      <c r="B1030" s="382">
        <v>45246</v>
      </c>
      <c r="C1030" s="383">
        <v>0.33333333333333331</v>
      </c>
      <c r="D1030" s="172" t="s">
        <v>4187</v>
      </c>
      <c r="E1030" s="173" t="s">
        <v>4188</v>
      </c>
      <c r="F1030" s="363">
        <v>3</v>
      </c>
      <c r="G1030" s="363"/>
      <c r="H1030" s="382"/>
      <c r="I1030" s="382"/>
      <c r="J1030" s="382"/>
      <c r="K1030" s="363" t="str">
        <f>IFERROR(VLOOKUP(J1030,Jueces!$A$1:$B$11,2,FALSE),"")</f>
        <v/>
      </c>
      <c r="L1030" s="172" t="s">
        <v>789</v>
      </c>
      <c r="M1030" s="172"/>
      <c r="N1030" s="363"/>
      <c r="O1030" s="172" t="str">
        <f t="shared" ca="1" si="57"/>
        <v>LIMBO</v>
      </c>
      <c r="P1030" s="172" t="str">
        <f t="shared" si="59"/>
        <v>DIANOSOL</v>
      </c>
      <c r="Q1030" s="172" t="s">
        <v>951</v>
      </c>
      <c r="R1030" s="172" t="str">
        <f>VLOOKUP($Q1030,Resultados!$A$1:$B$49,2,FALSE)</f>
        <v xml:space="preserve"> _</v>
      </c>
      <c r="S1030" s="172"/>
      <c r="T1030" s="174" t="str">
        <f t="shared" si="58"/>
        <v>NO</v>
      </c>
      <c r="U1030" s="174"/>
      <c r="V1030" s="363"/>
      <c r="W1030" s="363"/>
      <c r="X1030" s="363"/>
      <c r="Y1030" s="363"/>
      <c r="Z1030" s="363"/>
      <c r="AA1030" s="363"/>
      <c r="AB1030" s="363"/>
      <c r="AC1030" s="363"/>
    </row>
    <row r="1031" spans="1:29" ht="39.950000000000003" customHeight="1">
      <c r="A1031" s="363">
        <v>1029</v>
      </c>
      <c r="B1031" s="382">
        <v>45246</v>
      </c>
      <c r="C1031" s="383">
        <v>0.33333333333333331</v>
      </c>
      <c r="D1031" s="172" t="s">
        <v>4189</v>
      </c>
      <c r="E1031" s="173" t="s">
        <v>4190</v>
      </c>
      <c r="F1031" s="363">
        <v>4</v>
      </c>
      <c r="G1031" s="363"/>
      <c r="H1031" s="382"/>
      <c r="I1031" s="382"/>
      <c r="J1031" s="382"/>
      <c r="K1031" s="363" t="str">
        <f>IFERROR(VLOOKUP(J1031,Jueces!$A$1:$B$11,2,FALSE),"")</f>
        <v/>
      </c>
      <c r="L1031" s="172" t="s">
        <v>810</v>
      </c>
      <c r="M1031" s="172"/>
      <c r="N1031" s="363"/>
      <c r="O1031" s="172" t="str">
        <f t="shared" ca="1" si="57"/>
        <v>LIMBO</v>
      </c>
      <c r="P1031" s="172" t="str">
        <f t="shared" si="59"/>
        <v>DIANOSOL</v>
      </c>
      <c r="Q1031" s="172" t="s">
        <v>951</v>
      </c>
      <c r="R1031" s="172" t="str">
        <f>VLOOKUP($Q1031,Resultados!$A$1:$B$49,2,FALSE)</f>
        <v xml:space="preserve"> _</v>
      </c>
      <c r="S1031" s="172"/>
      <c r="T1031" s="174" t="str">
        <f t="shared" si="58"/>
        <v>NO</v>
      </c>
      <c r="U1031" s="174"/>
      <c r="V1031" s="363"/>
      <c r="W1031" s="363"/>
      <c r="X1031" s="363"/>
      <c r="Y1031" s="363"/>
      <c r="Z1031" s="363"/>
      <c r="AA1031" s="363"/>
      <c r="AB1031" s="363"/>
      <c r="AC1031" s="363"/>
    </row>
    <row r="1032" spans="1:29" ht="39.950000000000003" customHeight="1">
      <c r="A1032" s="363">
        <v>1030</v>
      </c>
      <c r="B1032" s="382">
        <v>45246</v>
      </c>
      <c r="C1032" s="172" t="s">
        <v>1374</v>
      </c>
      <c r="D1032" s="172" t="s">
        <v>4191</v>
      </c>
      <c r="E1032" s="173" t="s">
        <v>4192</v>
      </c>
      <c r="F1032" s="363">
        <v>4</v>
      </c>
      <c r="G1032" s="363"/>
      <c r="H1032" s="382"/>
      <c r="I1032" s="382"/>
      <c r="J1032" s="382"/>
      <c r="K1032" s="363" t="str">
        <f>IFERROR(VLOOKUP(J1032,Jueces!$A$1:$B$11,2,FALSE),"")</f>
        <v/>
      </c>
      <c r="L1032" s="172" t="s">
        <v>813</v>
      </c>
      <c r="M1032" s="172"/>
      <c r="N1032" s="363"/>
      <c r="O1032" s="172" t="str">
        <f t="shared" ca="1" si="57"/>
        <v>LIMBO</v>
      </c>
      <c r="P1032" s="172" t="str">
        <f t="shared" si="59"/>
        <v>DIANOSOL</v>
      </c>
      <c r="Q1032" s="172" t="s">
        <v>951</v>
      </c>
      <c r="R1032" s="172" t="str">
        <f>VLOOKUP($Q1032,Resultados!$A$1:$B$49,2,FALSE)</f>
        <v xml:space="preserve"> _</v>
      </c>
      <c r="S1032" s="172"/>
      <c r="T1032" s="174" t="str">
        <f t="shared" si="58"/>
        <v>NO</v>
      </c>
      <c r="U1032" s="174"/>
      <c r="V1032" s="363"/>
      <c r="W1032" s="363"/>
      <c r="X1032" s="363"/>
      <c r="Y1032" s="363"/>
      <c r="Z1032" s="363"/>
      <c r="AA1032" s="363"/>
      <c r="AB1032" s="363"/>
      <c r="AC1032" s="363"/>
    </row>
    <row r="1033" spans="1:29" ht="39.950000000000003" customHeight="1">
      <c r="A1033" s="363">
        <v>1031</v>
      </c>
      <c r="B1033" s="382">
        <v>45246</v>
      </c>
      <c r="C1033" s="172" t="s">
        <v>1498</v>
      </c>
      <c r="D1033" s="172" t="s">
        <v>3923</v>
      </c>
      <c r="E1033" s="173" t="s">
        <v>4193</v>
      </c>
      <c r="F1033" s="363">
        <v>4</v>
      </c>
      <c r="G1033" s="363"/>
      <c r="H1033" s="382"/>
      <c r="I1033" s="382"/>
      <c r="J1033" s="382"/>
      <c r="K1033" s="363" t="str">
        <f>IFERROR(VLOOKUP(J1033,Jueces!$A$1:$B$11,2,FALSE),"")</f>
        <v/>
      </c>
      <c r="L1033" s="172" t="s">
        <v>791</v>
      </c>
      <c r="M1033" s="172"/>
      <c r="N1033" s="363"/>
      <c r="O1033" s="172" t="str">
        <f t="shared" ca="1" si="57"/>
        <v>LIMBO</v>
      </c>
      <c r="P1033" s="172" t="str">
        <f t="shared" si="59"/>
        <v>DIANOSOL</v>
      </c>
      <c r="Q1033" s="172" t="s">
        <v>951</v>
      </c>
      <c r="R1033" s="172" t="str">
        <f>VLOOKUP($Q1033,Resultados!$A$1:$B$49,2,FALSE)</f>
        <v xml:space="preserve"> _</v>
      </c>
      <c r="S1033" s="172"/>
      <c r="T1033" s="174" t="str">
        <f t="shared" si="58"/>
        <v>NO</v>
      </c>
      <c r="U1033" s="174"/>
      <c r="V1033" s="363"/>
      <c r="W1033" s="363"/>
      <c r="X1033" s="363"/>
      <c r="Y1033" s="363"/>
      <c r="Z1033" s="363"/>
      <c r="AA1033" s="363"/>
      <c r="AB1033" s="363"/>
      <c r="AC1033" s="363"/>
    </row>
    <row r="1034" spans="1:29" ht="39.950000000000003" customHeight="1">
      <c r="A1034" s="363">
        <v>1032</v>
      </c>
      <c r="B1034" s="382">
        <v>45246</v>
      </c>
      <c r="C1034" s="383">
        <v>0.38750000000000001</v>
      </c>
      <c r="D1034" s="331" t="s">
        <v>4195</v>
      </c>
      <c r="E1034" s="173" t="s">
        <v>4194</v>
      </c>
      <c r="F1034" s="363">
        <v>4</v>
      </c>
      <c r="G1034" s="363"/>
      <c r="H1034" s="382"/>
      <c r="I1034" s="382"/>
      <c r="J1034" s="382"/>
      <c r="K1034" s="363" t="str">
        <f>IFERROR(VLOOKUP(J1034,Jueces!$A$1:$B$11,2,FALSE),"")</f>
        <v/>
      </c>
      <c r="L1034" s="172" t="s">
        <v>4135</v>
      </c>
      <c r="M1034" s="172"/>
      <c r="N1034" s="363"/>
      <c r="O1034" s="172" t="str">
        <f t="shared" ca="1" si="57"/>
        <v>LIMBO</v>
      </c>
      <c r="P1034" s="172" t="str">
        <f t="shared" si="59"/>
        <v>DIANOSOL</v>
      </c>
      <c r="Q1034" s="172" t="s">
        <v>951</v>
      </c>
      <c r="R1034" s="172" t="str">
        <f>VLOOKUP($Q1034,Resultados!$A$1:$B$49,2,FALSE)</f>
        <v xml:space="preserve"> _</v>
      </c>
      <c r="S1034" s="172"/>
      <c r="T1034" s="174" t="str">
        <f t="shared" si="58"/>
        <v>NO</v>
      </c>
      <c r="U1034" s="174"/>
      <c r="V1034" s="363"/>
      <c r="W1034" s="363"/>
      <c r="X1034" s="363"/>
      <c r="Y1034" s="363"/>
      <c r="Z1034" s="363"/>
      <c r="AA1034" s="363"/>
      <c r="AB1034" s="363"/>
      <c r="AC1034" s="363"/>
    </row>
    <row r="1035" spans="1:29" ht="39.950000000000003" customHeight="1">
      <c r="A1035" s="363">
        <v>1033</v>
      </c>
      <c r="B1035" s="382">
        <v>45246</v>
      </c>
      <c r="C1035" s="383">
        <v>0.40486111111111112</v>
      </c>
      <c r="D1035" s="172" t="s">
        <v>4196</v>
      </c>
      <c r="E1035" s="173" t="s">
        <v>4197</v>
      </c>
      <c r="F1035" s="363">
        <v>2</v>
      </c>
      <c r="G1035" s="363"/>
      <c r="H1035" s="382"/>
      <c r="I1035" s="382"/>
      <c r="J1035" s="382"/>
      <c r="K1035" s="363" t="str">
        <f>IFERROR(VLOOKUP(J1035,Jueces!$A$1:$B$11,2,FALSE),"")</f>
        <v/>
      </c>
      <c r="L1035" s="172" t="s">
        <v>810</v>
      </c>
      <c r="M1035" s="172"/>
      <c r="N1035" s="363"/>
      <c r="O1035" s="172" t="str">
        <f t="shared" ca="1" si="57"/>
        <v>LIMBO</v>
      </c>
      <c r="P1035" s="172" t="str">
        <f t="shared" si="59"/>
        <v>DIANOSOL</v>
      </c>
      <c r="Q1035" s="172" t="s">
        <v>951</v>
      </c>
      <c r="R1035" s="172" t="str">
        <f>VLOOKUP($Q1035,Resultados!$A$1:$B$49,2,FALSE)</f>
        <v xml:space="preserve"> _</v>
      </c>
      <c r="S1035" s="172"/>
      <c r="T1035" s="174" t="str">
        <f t="shared" si="58"/>
        <v>NO</v>
      </c>
      <c r="U1035" s="174"/>
      <c r="V1035" s="363"/>
      <c r="W1035" s="363"/>
      <c r="X1035" s="363"/>
      <c r="Y1035" s="363"/>
      <c r="Z1035" s="363"/>
      <c r="AA1035" s="363"/>
      <c r="AB1035" s="363"/>
      <c r="AC1035" s="363"/>
    </row>
    <row r="1036" spans="1:29" ht="39.950000000000003" customHeight="1">
      <c r="A1036" s="363">
        <v>1034</v>
      </c>
      <c r="B1036" s="382">
        <v>45246</v>
      </c>
      <c r="C1036" s="383">
        <v>0.54097222222222219</v>
      </c>
      <c r="D1036" s="172" t="s">
        <v>4198</v>
      </c>
      <c r="E1036" s="173" t="s">
        <v>4199</v>
      </c>
      <c r="F1036" s="363">
        <v>4</v>
      </c>
      <c r="G1036" s="363"/>
      <c r="H1036" s="382"/>
      <c r="I1036" s="382"/>
      <c r="J1036" s="382"/>
      <c r="K1036" s="363" t="str">
        <f>IFERROR(VLOOKUP(J1036,Jueces!$A$1:$B$11,2,FALSE),"")</f>
        <v/>
      </c>
      <c r="L1036" s="172" t="s">
        <v>789</v>
      </c>
      <c r="M1036" s="172"/>
      <c r="N1036" s="363"/>
      <c r="O1036" s="172" t="str">
        <f t="shared" ca="1" si="57"/>
        <v>LIMBO</v>
      </c>
      <c r="P1036" s="172" t="str">
        <f t="shared" si="59"/>
        <v>DIANOSOL</v>
      </c>
      <c r="Q1036" s="172" t="s">
        <v>951</v>
      </c>
      <c r="R1036" s="172" t="str">
        <f>VLOOKUP($Q1036,Resultados!$A$1:$B$49,2,FALSE)</f>
        <v xml:space="preserve"> _</v>
      </c>
      <c r="S1036" s="172"/>
      <c r="T1036" s="174" t="str">
        <f t="shared" si="58"/>
        <v>NO</v>
      </c>
      <c r="U1036" s="174"/>
      <c r="V1036" s="363"/>
      <c r="W1036" s="363"/>
      <c r="X1036" s="363"/>
      <c r="Y1036" s="363"/>
      <c r="Z1036" s="363"/>
      <c r="AA1036" s="363"/>
      <c r="AB1036" s="363"/>
      <c r="AC1036" s="363"/>
    </row>
    <row r="1037" spans="1:29" ht="39.950000000000003" customHeight="1">
      <c r="A1037" s="363">
        <v>1035</v>
      </c>
      <c r="B1037" s="382">
        <v>45246</v>
      </c>
      <c r="C1037" s="383">
        <v>0.53541666666666665</v>
      </c>
      <c r="D1037" s="172" t="s">
        <v>4200</v>
      </c>
      <c r="E1037" s="173" t="s">
        <v>4201</v>
      </c>
      <c r="F1037" s="363">
        <v>4</v>
      </c>
      <c r="G1037" s="363"/>
      <c r="H1037" s="382"/>
      <c r="I1037" s="382"/>
      <c r="J1037" s="382"/>
      <c r="K1037" s="363" t="str">
        <f>IFERROR(VLOOKUP(J1037,Jueces!$A$1:$B$11,2,FALSE),"")</f>
        <v/>
      </c>
      <c r="L1037" s="172" t="s">
        <v>803</v>
      </c>
      <c r="M1037" s="172"/>
      <c r="N1037" s="363"/>
      <c r="O1037" s="172" t="str">
        <f t="shared" ca="1" si="57"/>
        <v>LIMBO</v>
      </c>
      <c r="P1037" s="172" t="str">
        <f t="shared" si="59"/>
        <v>DIANOSOL</v>
      </c>
      <c r="Q1037" s="172" t="s">
        <v>951</v>
      </c>
      <c r="R1037" s="172" t="str">
        <f>VLOOKUP($Q1037,Resultados!$A$1:$B$49,2,FALSE)</f>
        <v xml:space="preserve"> _</v>
      </c>
      <c r="S1037" s="172"/>
      <c r="T1037" s="174" t="str">
        <f t="shared" si="58"/>
        <v>NO</v>
      </c>
      <c r="U1037" s="174"/>
      <c r="V1037" s="363"/>
      <c r="W1037" s="363"/>
      <c r="X1037" s="363"/>
      <c r="Y1037" s="363"/>
      <c r="Z1037" s="363"/>
      <c r="AA1037" s="363"/>
      <c r="AB1037" s="363"/>
      <c r="AC1037" s="363"/>
    </row>
    <row r="1038" spans="1:29" ht="39.950000000000003" customHeight="1">
      <c r="A1038" s="363">
        <v>1036</v>
      </c>
      <c r="B1038" s="382">
        <v>45246</v>
      </c>
      <c r="C1038" s="383">
        <v>0.53263888888888888</v>
      </c>
      <c r="D1038" s="172" t="s">
        <v>4202</v>
      </c>
      <c r="E1038" s="173" t="s">
        <v>4203</v>
      </c>
      <c r="F1038" s="363">
        <v>4</v>
      </c>
      <c r="G1038" s="363"/>
      <c r="H1038" s="382"/>
      <c r="I1038" s="382"/>
      <c r="J1038" s="382"/>
      <c r="K1038" s="363" t="str">
        <f>IFERROR(VLOOKUP(J1038,Jueces!$A$1:$B$11,2,FALSE),"")</f>
        <v/>
      </c>
      <c r="L1038" s="172" t="s">
        <v>798</v>
      </c>
      <c r="M1038" s="172"/>
      <c r="N1038" s="363"/>
      <c r="O1038" s="172" t="str">
        <f t="shared" ref="O1038:O1040" ca="1" si="60">IF(H1038&lt;&gt;"",IF(H1038&lt;=TODAY(),"SI","NO"),"LIMBO")</f>
        <v>LIMBO</v>
      </c>
      <c r="P1038" s="172" t="str">
        <f t="shared" si="59"/>
        <v>DIANOSOL</v>
      </c>
      <c r="Q1038" s="172" t="s">
        <v>951</v>
      </c>
      <c r="R1038" s="172" t="str">
        <f>VLOOKUP($Q1038,Resultados!$A$1:$B$49,2,FALSE)</f>
        <v xml:space="preserve"> _</v>
      </c>
      <c r="S1038" s="172"/>
      <c r="T1038" s="174" t="str">
        <f t="shared" si="58"/>
        <v>NO</v>
      </c>
      <c r="U1038" s="174"/>
      <c r="V1038" s="363"/>
      <c r="W1038" s="363"/>
      <c r="X1038" s="363"/>
      <c r="Y1038" s="363"/>
      <c r="Z1038" s="363"/>
      <c r="AA1038" s="363"/>
      <c r="AB1038" s="363"/>
      <c r="AC1038" s="363"/>
    </row>
    <row r="1039" spans="1:29" ht="39.950000000000003" customHeight="1">
      <c r="A1039" s="363">
        <v>1037</v>
      </c>
      <c r="B1039" s="382">
        <v>45246</v>
      </c>
      <c r="C1039" s="383">
        <v>0.52916666666666667</v>
      </c>
      <c r="D1039" s="172" t="s">
        <v>4204</v>
      </c>
      <c r="E1039" s="173" t="s">
        <v>4205</v>
      </c>
      <c r="F1039" s="363">
        <v>4</v>
      </c>
      <c r="G1039" s="363"/>
      <c r="H1039" s="382"/>
      <c r="I1039" s="382"/>
      <c r="J1039" s="382"/>
      <c r="K1039" s="363" t="str">
        <f>IFERROR(VLOOKUP(J1039,Jueces!$A$1:$B$11,2,FALSE),"")</f>
        <v/>
      </c>
      <c r="L1039" s="172" t="s">
        <v>789</v>
      </c>
      <c r="M1039" s="172"/>
      <c r="N1039" s="363"/>
      <c r="O1039" s="172" t="str">
        <f t="shared" ca="1" si="60"/>
        <v>LIMBO</v>
      </c>
      <c r="P1039" s="172" t="str">
        <f t="shared" si="59"/>
        <v>DIANOSOL</v>
      </c>
      <c r="Q1039" s="172" t="s">
        <v>951</v>
      </c>
      <c r="R1039" s="172" t="str">
        <f>VLOOKUP($Q1039,Resultados!$A$1:$B$49,2,FALSE)</f>
        <v xml:space="preserve"> _</v>
      </c>
      <c r="S1039" s="172"/>
      <c r="T1039" s="174" t="str">
        <f t="shared" si="58"/>
        <v>NO</v>
      </c>
      <c r="U1039" s="174"/>
      <c r="V1039" s="363"/>
      <c r="W1039" s="363"/>
      <c r="X1039" s="363"/>
      <c r="Y1039" s="363"/>
      <c r="Z1039" s="363"/>
      <c r="AA1039" s="363"/>
      <c r="AB1039" s="363"/>
      <c r="AC1039" s="363"/>
    </row>
    <row r="1040" spans="1:29" ht="39.950000000000003" customHeight="1">
      <c r="A1040" s="450">
        <v>1038</v>
      </c>
      <c r="B1040" s="451">
        <v>45246</v>
      </c>
      <c r="C1040" s="455">
        <v>0.52916666666666667</v>
      </c>
      <c r="D1040" s="386" t="s">
        <v>4206</v>
      </c>
      <c r="E1040" s="456" t="s">
        <v>4207</v>
      </c>
      <c r="F1040" s="450">
        <v>4</v>
      </c>
      <c r="G1040" s="450"/>
      <c r="H1040" s="451"/>
      <c r="I1040" s="451"/>
      <c r="J1040" s="451"/>
      <c r="K1040" s="450" t="str">
        <f>IFERROR(VLOOKUP(J1040,Jueces!$A$1:$B$11,2,FALSE),"")</f>
        <v/>
      </c>
      <c r="L1040" s="386" t="s">
        <v>1700</v>
      </c>
      <c r="M1040" s="386"/>
      <c r="N1040" s="450"/>
      <c r="O1040" s="386" t="str">
        <f t="shared" ca="1" si="60"/>
        <v>LIMBO</v>
      </c>
      <c r="P1040" s="386" t="str">
        <f t="shared" si="59"/>
        <v>DIANOSOL</v>
      </c>
      <c r="Q1040" s="386" t="s">
        <v>951</v>
      </c>
      <c r="R1040" s="386" t="str">
        <f>VLOOKUP($Q1040,Resultados!$A$1:$B$49,2,FALSE)</f>
        <v xml:space="preserve"> _</v>
      </c>
      <c r="S1040" s="386"/>
      <c r="T1040" s="452" t="str">
        <f t="shared" si="58"/>
        <v>NO</v>
      </c>
      <c r="U1040" s="452"/>
      <c r="V1040" s="450"/>
      <c r="W1040" s="450"/>
      <c r="X1040" s="450"/>
      <c r="Y1040" s="450"/>
      <c r="Z1040" s="450"/>
      <c r="AA1040" s="450"/>
      <c r="AB1040" s="450"/>
      <c r="AC1040" s="450"/>
    </row>
  </sheetData>
  <autoFilter ref="A2:AC2"/>
  <sortState ref="A3:AC1024">
    <sortCondition ref="H3:H1025"/>
    <sortCondition ref="I3:I1025"/>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0" priority="1">
      <formula>"SI(P115=""HOY"")"</formula>
    </cfRule>
  </conditionalFormatting>
  <dataValidations count="6">
    <dataValidation type="list" allowBlank="1" showInputMessage="1" showErrorMessage="1" sqref="R3 R943:R1040">
      <formula1>Resultados!$B$1:$B$30</formula1>
    </dataValidation>
    <dataValidation type="list" allowBlank="1" showInputMessage="1" showErrorMessage="1" sqref="M3:M895 M897:M1040">
      <formula1>defensores!$A$1:$A$200</formula1>
    </dataValidation>
    <dataValidation type="list" allowBlank="1" showInputMessage="1" showErrorMessage="1" sqref="Q3:Q970">
      <formula1>Resultados!$A$1:$A$30</formula1>
    </dataValidation>
    <dataValidation type="list" allowBlank="1" showInputMessage="1" showErrorMessage="1" sqref="J3:J895 J897:J1040">
      <formula1>Jueces!$A$1:$A$20</formula1>
    </dataValidation>
    <dataValidation type="list" allowBlank="1" showInputMessage="1" showErrorMessage="1" sqref="L3:L895 L897:L1040">
      <formula1>'fiscalias penales'!$A$1:$A$64</formula1>
    </dataValidation>
    <dataValidation type="list" allowBlank="1" showInputMessage="1" showErrorMessage="1" sqref="G3:G895 G897:G1040">
      <formula1>Internos!$A$1:$A$25</formula1>
    </dataValidation>
  </dataValidations>
  <printOptions horizontalCentered="1" verticalCentered="1"/>
  <pageMargins left="0.19685039370078741" right="0.19685039370078741" top="0.19685039370078741" bottom="0.19685039370078741" header="0" footer="0"/>
  <pageSetup paperSize="5" scale="80" orientation="landscape" blackAndWhite="1" r:id="rId7"/>
  <drawing r:id="rId8"/>
  <legacyDrawing r:id="rId9"/>
  <controls>
    <control shapeId="1152" r:id="rId10" name="GarOrigen"/>
    <control shapeId="1129" r:id="rId11" name="ComboBox2"/>
    <control shapeId="1126" r:id="rId12" name="ComboBox1"/>
  </controls>
  <extLst xmlns:x14="http://schemas.microsoft.com/office/spreadsheetml/2009/9/main">
    <ext uri="{CCE6A557-97BC-4b89-ADB6-D9C93CAAB3DF}">
      <x14:dataValidations xmlns:xm="http://schemas.microsoft.com/office/excel/2006/main" count="20">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'E:\back planillas\JAN\[Control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e">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#N/A</v>
      </c>
      <c r="F2" s="161" t="str">
        <f>CONCATENATE(TEXT(G$1,"dd/mm/yyyy"),$A2)</f>
        <v>04/10/20231</v>
      </c>
      <c r="G2" s="160" t="e">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#N/A</v>
      </c>
      <c r="H2" s="162" t="str">
        <f>CONCATENATE(TEXT(I$1,"dd/mm/yyyy"),$A2)</f>
        <v>05/10/20231</v>
      </c>
      <c r="I2" s="160" t="e">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#N/A</v>
      </c>
      <c r="J2" s="162" t="str">
        <f>CONCATENATE(TEXT(K$1,"dd/mm/yyyy"),$A2)</f>
        <v>06/10/20231</v>
      </c>
      <c r="K2" s="185" t="e">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#N/A</v>
      </c>
    </row>
    <row r="3" spans="1:13" ht="63">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e">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#N/A</v>
      </c>
      <c r="F3" s="162" t="str">
        <f>CONCATENATE(TEXT(G$1,"dd/mm/yyyy"),$A3)</f>
        <v>04/10/20232</v>
      </c>
      <c r="G3" s="160" t="e">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#N/A</v>
      </c>
      <c r="H3" s="162" t="str">
        <f>CONCATENATE(TEXT(I$1,"dd/mm/yyyy"),$A3)</f>
        <v>05/10/20232</v>
      </c>
      <c r="I3" s="160" t="e">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#N/A</v>
      </c>
      <c r="J3" s="162" t="str">
        <f>CONCATENATE(TEXT(K$1,"dd/mm/yyyy"),$A3)</f>
        <v>06/10/20232</v>
      </c>
      <c r="K3" s="185" t="e">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#N/A</v>
      </c>
      <c r="M3" s="207"/>
    </row>
    <row r="4" spans="1:13" ht="108">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2177</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1" priority="304">
      <formula>ISERROR(C2)</formula>
    </cfRule>
  </conditionalFormatting>
  <conditionalFormatting sqref="E2:E11">
    <cfRule type="containsErrors" dxfId="400" priority="303">
      <formula>ISERROR(E2)</formula>
    </cfRule>
  </conditionalFormatting>
  <conditionalFormatting sqref="G2:G11">
    <cfRule type="containsErrors" dxfId="399" priority="302">
      <formula>ISERROR(G2)</formula>
    </cfRule>
  </conditionalFormatting>
  <conditionalFormatting sqref="I2:I11">
    <cfRule type="containsErrors" dxfId="398" priority="301">
      <formula>ISERROR(I2)</formula>
    </cfRule>
  </conditionalFormatting>
  <conditionalFormatting sqref="K2:K11">
    <cfRule type="containsErrors" dxfId="397" priority="300">
      <formula>ISERROR(K2)</formula>
    </cfRule>
  </conditionalFormatting>
  <conditionalFormatting sqref="G2 I2 K2">
    <cfRule type="containsErrors" dxfId="396" priority="299">
      <formula>ISERROR(G2)</formula>
    </cfRule>
  </conditionalFormatting>
  <conditionalFormatting sqref="I2">
    <cfRule type="containsErrors" dxfId="395" priority="298">
      <formula>ISERROR(I2)</formula>
    </cfRule>
  </conditionalFormatting>
  <conditionalFormatting sqref="G3:G7">
    <cfRule type="containsErrors" dxfId="394" priority="297">
      <formula>ISERROR(G3)</formula>
    </cfRule>
  </conditionalFormatting>
  <conditionalFormatting sqref="G8:G11">
    <cfRule type="containsErrors" dxfId="393" priority="296">
      <formula>ISERROR(G8)</formula>
    </cfRule>
  </conditionalFormatting>
  <conditionalFormatting sqref="I3:I11">
    <cfRule type="containsErrors" dxfId="392" priority="295">
      <formula>ISERROR(I3)</formula>
    </cfRule>
  </conditionalFormatting>
  <conditionalFormatting sqref="I3:I11">
    <cfRule type="containsErrors" dxfId="391" priority="294">
      <formula>ISERROR(I3)</formula>
    </cfRule>
  </conditionalFormatting>
  <conditionalFormatting sqref="K3:K11">
    <cfRule type="containsErrors" dxfId="390" priority="293">
      <formula>ISERROR(K3)</formula>
    </cfRule>
  </conditionalFormatting>
  <conditionalFormatting sqref="C2">
    <cfRule type="containsErrors" dxfId="389" priority="292">
      <formula>ISERROR(C2)</formula>
    </cfRule>
  </conditionalFormatting>
  <conditionalFormatting sqref="C2">
    <cfRule type="containsErrors" dxfId="388" priority="291">
      <formula>ISERROR(C2)</formula>
    </cfRule>
  </conditionalFormatting>
  <conditionalFormatting sqref="C3:C11">
    <cfRule type="containsErrors" dxfId="387" priority="290">
      <formula>ISERROR(C3)</formula>
    </cfRule>
  </conditionalFormatting>
  <conditionalFormatting sqref="C3:C11">
    <cfRule type="containsErrors" dxfId="386" priority="289">
      <formula>ISERROR(C3)</formula>
    </cfRule>
  </conditionalFormatting>
  <conditionalFormatting sqref="C3:C11">
    <cfRule type="containsErrors" dxfId="385" priority="288">
      <formula>ISERROR(C3)</formula>
    </cfRule>
  </conditionalFormatting>
  <conditionalFormatting sqref="C3:C11">
    <cfRule type="containsErrors" dxfId="384" priority="287">
      <formula>ISERROR(C3)</formula>
    </cfRule>
  </conditionalFormatting>
  <conditionalFormatting sqref="E2">
    <cfRule type="containsErrors" dxfId="383" priority="286">
      <formula>ISERROR(E2)</formula>
    </cfRule>
  </conditionalFormatting>
  <conditionalFormatting sqref="E2">
    <cfRule type="containsErrors" dxfId="382" priority="285">
      <formula>ISERROR(E2)</formula>
    </cfRule>
  </conditionalFormatting>
  <conditionalFormatting sqref="E2">
    <cfRule type="containsErrors" dxfId="381" priority="284">
      <formula>ISERROR(E2)</formula>
    </cfRule>
  </conditionalFormatting>
  <conditionalFormatting sqref="E3:E11">
    <cfRule type="containsErrors" dxfId="380" priority="283">
      <formula>ISERROR(E3)</formula>
    </cfRule>
  </conditionalFormatting>
  <conditionalFormatting sqref="E3:E11">
    <cfRule type="containsErrors" dxfId="379" priority="282">
      <formula>ISERROR(E3)</formula>
    </cfRule>
  </conditionalFormatting>
  <conditionalFormatting sqref="E3:E11">
    <cfRule type="containsErrors" dxfId="378" priority="281">
      <formula>ISERROR(E3)</formula>
    </cfRule>
  </conditionalFormatting>
  <conditionalFormatting sqref="G2:G11">
    <cfRule type="containsErrors" dxfId="377" priority="280">
      <formula>ISERROR(G2)</formula>
    </cfRule>
  </conditionalFormatting>
  <conditionalFormatting sqref="G2">
    <cfRule type="containsErrors" dxfId="376" priority="279">
      <formula>ISERROR(G2)</formula>
    </cfRule>
  </conditionalFormatting>
  <conditionalFormatting sqref="G2">
    <cfRule type="containsErrors" dxfId="375" priority="278">
      <formula>ISERROR(G2)</formula>
    </cfRule>
  </conditionalFormatting>
  <conditionalFormatting sqref="G2">
    <cfRule type="containsErrors" dxfId="374" priority="277">
      <formula>ISERROR(G2)</formula>
    </cfRule>
  </conditionalFormatting>
  <conditionalFormatting sqref="G3:G11">
    <cfRule type="containsErrors" dxfId="373" priority="276">
      <formula>ISERROR(G3)</formula>
    </cfRule>
  </conditionalFormatting>
  <conditionalFormatting sqref="G3:G11">
    <cfRule type="containsErrors" dxfId="372" priority="275">
      <formula>ISERROR(G3)</formula>
    </cfRule>
  </conditionalFormatting>
  <conditionalFormatting sqref="G3:G11">
    <cfRule type="containsErrors" dxfId="371" priority="274">
      <formula>ISERROR(G3)</formula>
    </cfRule>
  </conditionalFormatting>
  <conditionalFormatting sqref="I2:I11">
    <cfRule type="containsErrors" dxfId="370" priority="273">
      <formula>ISERROR(I2)</formula>
    </cfRule>
  </conditionalFormatting>
  <conditionalFormatting sqref="I2">
    <cfRule type="containsErrors" dxfId="369" priority="272">
      <formula>ISERROR(I2)</formula>
    </cfRule>
  </conditionalFormatting>
  <conditionalFormatting sqref="I2">
    <cfRule type="containsErrors" dxfId="368" priority="271">
      <formula>ISERROR(I2)</formula>
    </cfRule>
  </conditionalFormatting>
  <conditionalFormatting sqref="I2">
    <cfRule type="containsErrors" dxfId="367" priority="270">
      <formula>ISERROR(I2)</formula>
    </cfRule>
  </conditionalFormatting>
  <conditionalFormatting sqref="I3:I11">
    <cfRule type="containsErrors" dxfId="366" priority="269">
      <formula>ISERROR(I3)</formula>
    </cfRule>
  </conditionalFormatting>
  <conditionalFormatting sqref="I3:I11">
    <cfRule type="containsErrors" dxfId="365" priority="268">
      <formula>ISERROR(I3)</formula>
    </cfRule>
  </conditionalFormatting>
  <conditionalFormatting sqref="I3:I11">
    <cfRule type="containsErrors" dxfId="364" priority="267">
      <formula>ISERROR(I3)</formula>
    </cfRule>
  </conditionalFormatting>
  <conditionalFormatting sqref="C3:C11">
    <cfRule type="containsErrors" dxfId="363" priority="266">
      <formula>ISERROR(C3)</formula>
    </cfRule>
  </conditionalFormatting>
  <conditionalFormatting sqref="C3:C11">
    <cfRule type="containsErrors" dxfId="362" priority="265">
      <formula>ISERROR(C3)</formula>
    </cfRule>
  </conditionalFormatting>
  <conditionalFormatting sqref="E2:E11">
    <cfRule type="containsErrors" dxfId="361" priority="264">
      <formula>ISERROR(E2)</formula>
    </cfRule>
  </conditionalFormatting>
  <conditionalFormatting sqref="E2">
    <cfRule type="containsErrors" dxfId="360" priority="263">
      <formula>ISERROR(E2)</formula>
    </cfRule>
  </conditionalFormatting>
  <conditionalFormatting sqref="E2">
    <cfRule type="containsErrors" dxfId="359" priority="262">
      <formula>ISERROR(E2)</formula>
    </cfRule>
  </conditionalFormatting>
  <conditionalFormatting sqref="E3:E11">
    <cfRule type="containsErrors" dxfId="358" priority="261">
      <formula>ISERROR(E3)</formula>
    </cfRule>
  </conditionalFormatting>
  <conditionalFormatting sqref="E3:E11">
    <cfRule type="containsErrors" dxfId="357" priority="260">
      <formula>ISERROR(E3)</formula>
    </cfRule>
  </conditionalFormatting>
  <conditionalFormatting sqref="E3:E11">
    <cfRule type="containsErrors" dxfId="356" priority="259">
      <formula>ISERROR(E3)</formula>
    </cfRule>
  </conditionalFormatting>
  <conditionalFormatting sqref="E3:E11">
    <cfRule type="containsErrors" dxfId="355" priority="258">
      <formula>ISERROR(E3)</formula>
    </cfRule>
  </conditionalFormatting>
  <conditionalFormatting sqref="E3:E11">
    <cfRule type="containsErrors" dxfId="354" priority="257">
      <formula>ISERROR(E3)</formula>
    </cfRule>
  </conditionalFormatting>
  <conditionalFormatting sqref="E3:E11">
    <cfRule type="containsErrors" dxfId="353" priority="256">
      <formula>ISERROR(E3)</formula>
    </cfRule>
  </conditionalFormatting>
  <conditionalFormatting sqref="G2:G11">
    <cfRule type="containsErrors" dxfId="352" priority="255">
      <formula>ISERROR(G2)</formula>
    </cfRule>
  </conditionalFormatting>
  <conditionalFormatting sqref="G2">
    <cfRule type="containsErrors" dxfId="351" priority="254">
      <formula>ISERROR(G2)</formula>
    </cfRule>
  </conditionalFormatting>
  <conditionalFormatting sqref="G2">
    <cfRule type="containsErrors" dxfId="350" priority="253">
      <formula>ISERROR(G2)</formula>
    </cfRule>
  </conditionalFormatting>
  <conditionalFormatting sqref="G3:G11">
    <cfRule type="containsErrors" dxfId="349" priority="252">
      <formula>ISERROR(G3)</formula>
    </cfRule>
  </conditionalFormatting>
  <conditionalFormatting sqref="G3:G11">
    <cfRule type="containsErrors" dxfId="348" priority="251">
      <formula>ISERROR(G3)</formula>
    </cfRule>
  </conditionalFormatting>
  <conditionalFormatting sqref="G3:G11">
    <cfRule type="containsErrors" dxfId="347" priority="250">
      <formula>ISERROR(G3)</formula>
    </cfRule>
  </conditionalFormatting>
  <conditionalFormatting sqref="G3:G11">
    <cfRule type="containsErrors" dxfId="346" priority="249">
      <formula>ISERROR(G3)</formula>
    </cfRule>
  </conditionalFormatting>
  <conditionalFormatting sqref="G3:G11">
    <cfRule type="containsErrors" dxfId="345" priority="248">
      <formula>ISERROR(G3)</formula>
    </cfRule>
  </conditionalFormatting>
  <conditionalFormatting sqref="G3:G11">
    <cfRule type="containsErrors" dxfId="344" priority="247">
      <formula>ISERROR(G3)</formula>
    </cfRule>
  </conditionalFormatting>
  <conditionalFormatting sqref="I2:I11">
    <cfRule type="containsErrors" dxfId="343" priority="246">
      <formula>ISERROR(I2)</formula>
    </cfRule>
  </conditionalFormatting>
  <conditionalFormatting sqref="I2">
    <cfRule type="containsErrors" dxfId="342" priority="245">
      <formula>ISERROR(I2)</formula>
    </cfRule>
  </conditionalFormatting>
  <conditionalFormatting sqref="I2">
    <cfRule type="containsErrors" dxfId="341" priority="244">
      <formula>ISERROR(I2)</formula>
    </cfRule>
  </conditionalFormatting>
  <conditionalFormatting sqref="I3:I11">
    <cfRule type="containsErrors" dxfId="340" priority="243">
      <formula>ISERROR(I3)</formula>
    </cfRule>
  </conditionalFormatting>
  <conditionalFormatting sqref="I3:I11">
    <cfRule type="containsErrors" dxfId="339" priority="242">
      <formula>ISERROR(I3)</formula>
    </cfRule>
  </conditionalFormatting>
  <conditionalFormatting sqref="I3:I11">
    <cfRule type="containsErrors" dxfId="338" priority="241">
      <formula>ISERROR(I3)</formula>
    </cfRule>
  </conditionalFormatting>
  <conditionalFormatting sqref="I3:I11">
    <cfRule type="containsErrors" dxfId="337" priority="240">
      <formula>ISERROR(I3)</formula>
    </cfRule>
  </conditionalFormatting>
  <conditionalFormatting sqref="I3:I11">
    <cfRule type="containsErrors" dxfId="336" priority="239">
      <formula>ISERROR(I3)</formula>
    </cfRule>
  </conditionalFormatting>
  <conditionalFormatting sqref="I3:I11">
    <cfRule type="containsErrors" dxfId="335" priority="238">
      <formula>ISERROR(I3)</formula>
    </cfRule>
  </conditionalFormatting>
  <conditionalFormatting sqref="K2:K11">
    <cfRule type="containsErrors" dxfId="334" priority="237">
      <formula>ISERROR(K2)</formula>
    </cfRule>
  </conditionalFormatting>
  <conditionalFormatting sqref="K2">
    <cfRule type="containsErrors" dxfId="333" priority="236">
      <formula>ISERROR(K2)</formula>
    </cfRule>
  </conditionalFormatting>
  <conditionalFormatting sqref="K2">
    <cfRule type="containsErrors" dxfId="332" priority="235">
      <formula>ISERROR(K2)</formula>
    </cfRule>
  </conditionalFormatting>
  <conditionalFormatting sqref="K3:K11">
    <cfRule type="containsErrors" dxfId="331" priority="234">
      <formula>ISERROR(K3)</formula>
    </cfRule>
  </conditionalFormatting>
  <conditionalFormatting sqref="K3:K11">
    <cfRule type="containsErrors" dxfId="330" priority="233">
      <formula>ISERROR(K3)</formula>
    </cfRule>
  </conditionalFormatting>
  <conditionalFormatting sqref="K3:K11">
    <cfRule type="containsErrors" dxfId="329" priority="232">
      <formula>ISERROR(K3)</formula>
    </cfRule>
  </conditionalFormatting>
  <conditionalFormatting sqref="K3:K11">
    <cfRule type="containsErrors" dxfId="328" priority="231">
      <formula>ISERROR(K3)</formula>
    </cfRule>
  </conditionalFormatting>
  <conditionalFormatting sqref="K3:K11">
    <cfRule type="containsErrors" dxfId="327" priority="230">
      <formula>ISERROR(K3)</formula>
    </cfRule>
  </conditionalFormatting>
  <conditionalFormatting sqref="K3:K11">
    <cfRule type="containsErrors" dxfId="326" priority="229">
      <formula>ISERROR(K3)</formula>
    </cfRule>
  </conditionalFormatting>
  <conditionalFormatting sqref="C2:C11">
    <cfRule type="containsErrors" dxfId="325" priority="228">
      <formula>ISERROR(C2)</formula>
    </cfRule>
  </conditionalFormatting>
  <conditionalFormatting sqref="E2:E11">
    <cfRule type="containsErrors" dxfId="324" priority="227">
      <formula>ISERROR(E2)</formula>
    </cfRule>
  </conditionalFormatting>
  <conditionalFormatting sqref="G2:G11">
    <cfRule type="containsErrors" dxfId="323" priority="226">
      <formula>ISERROR(G2)</formula>
    </cfRule>
  </conditionalFormatting>
  <conditionalFormatting sqref="I2:I11">
    <cfRule type="containsErrors" dxfId="322" priority="225">
      <formula>ISERROR(I2)</formula>
    </cfRule>
  </conditionalFormatting>
  <conditionalFormatting sqref="K2:K11">
    <cfRule type="containsErrors" dxfId="321" priority="224">
      <formula>ISERROR(K2)</formula>
    </cfRule>
  </conditionalFormatting>
  <conditionalFormatting sqref="G2 I2 K2">
    <cfRule type="containsErrors" dxfId="320" priority="223">
      <formula>ISERROR(G2)</formula>
    </cfRule>
  </conditionalFormatting>
  <conditionalFormatting sqref="I2">
    <cfRule type="containsErrors" dxfId="319" priority="222">
      <formula>ISERROR(I2)</formula>
    </cfRule>
  </conditionalFormatting>
  <conditionalFormatting sqref="G3:G7">
    <cfRule type="containsErrors" dxfId="318" priority="221">
      <formula>ISERROR(G3)</formula>
    </cfRule>
  </conditionalFormatting>
  <conditionalFormatting sqref="G8:G11">
    <cfRule type="containsErrors" dxfId="317" priority="220">
      <formula>ISERROR(G8)</formula>
    </cfRule>
  </conditionalFormatting>
  <conditionalFormatting sqref="I3:I11">
    <cfRule type="containsErrors" dxfId="316" priority="219">
      <formula>ISERROR(I3)</formula>
    </cfRule>
  </conditionalFormatting>
  <conditionalFormatting sqref="I3:I11">
    <cfRule type="containsErrors" dxfId="315" priority="218">
      <formula>ISERROR(I3)</formula>
    </cfRule>
  </conditionalFormatting>
  <conditionalFormatting sqref="K3:K11">
    <cfRule type="containsErrors" dxfId="314" priority="217">
      <formula>ISERROR(K3)</formula>
    </cfRule>
  </conditionalFormatting>
  <conditionalFormatting sqref="C2">
    <cfRule type="containsErrors" dxfId="313" priority="216">
      <formula>ISERROR(C2)</formula>
    </cfRule>
  </conditionalFormatting>
  <conditionalFormatting sqref="C2">
    <cfRule type="containsErrors" dxfId="312" priority="215">
      <formula>ISERROR(C2)</formula>
    </cfRule>
  </conditionalFormatting>
  <conditionalFormatting sqref="C3:C11">
    <cfRule type="containsErrors" dxfId="311" priority="214">
      <formula>ISERROR(C3)</formula>
    </cfRule>
  </conditionalFormatting>
  <conditionalFormatting sqref="C3:C11">
    <cfRule type="containsErrors" dxfId="310" priority="213">
      <formula>ISERROR(C3)</formula>
    </cfRule>
  </conditionalFormatting>
  <conditionalFormatting sqref="C3:C11">
    <cfRule type="containsErrors" dxfId="309" priority="212">
      <formula>ISERROR(C3)</formula>
    </cfRule>
  </conditionalFormatting>
  <conditionalFormatting sqref="C3:C11">
    <cfRule type="containsErrors" dxfId="308" priority="211">
      <formula>ISERROR(C3)</formula>
    </cfRule>
  </conditionalFormatting>
  <conditionalFormatting sqref="E2">
    <cfRule type="containsErrors" dxfId="307" priority="210">
      <formula>ISERROR(E2)</formula>
    </cfRule>
  </conditionalFormatting>
  <conditionalFormatting sqref="E2">
    <cfRule type="containsErrors" dxfId="306" priority="209">
      <formula>ISERROR(E2)</formula>
    </cfRule>
  </conditionalFormatting>
  <conditionalFormatting sqref="E2">
    <cfRule type="containsErrors" dxfId="305" priority="208">
      <formula>ISERROR(E2)</formula>
    </cfRule>
  </conditionalFormatting>
  <conditionalFormatting sqref="E3:E11">
    <cfRule type="containsErrors" dxfId="304" priority="207">
      <formula>ISERROR(E3)</formula>
    </cfRule>
  </conditionalFormatting>
  <conditionalFormatting sqref="E3:E11">
    <cfRule type="containsErrors" dxfId="303" priority="206">
      <formula>ISERROR(E3)</formula>
    </cfRule>
  </conditionalFormatting>
  <conditionalFormatting sqref="E3:E11">
    <cfRule type="containsErrors" dxfId="302" priority="205">
      <formula>ISERROR(E3)</formula>
    </cfRule>
  </conditionalFormatting>
  <conditionalFormatting sqref="G2:G11">
    <cfRule type="containsErrors" dxfId="301" priority="204">
      <formula>ISERROR(G2)</formula>
    </cfRule>
  </conditionalFormatting>
  <conditionalFormatting sqref="G2">
    <cfRule type="containsErrors" dxfId="300" priority="203">
      <formula>ISERROR(G2)</formula>
    </cfRule>
  </conditionalFormatting>
  <conditionalFormatting sqref="G2">
    <cfRule type="containsErrors" dxfId="299" priority="202">
      <formula>ISERROR(G2)</formula>
    </cfRule>
  </conditionalFormatting>
  <conditionalFormatting sqref="G2">
    <cfRule type="containsErrors" dxfId="298" priority="201">
      <formula>ISERROR(G2)</formula>
    </cfRule>
  </conditionalFormatting>
  <conditionalFormatting sqref="G3:G11">
    <cfRule type="containsErrors" dxfId="297" priority="200">
      <formula>ISERROR(G3)</formula>
    </cfRule>
  </conditionalFormatting>
  <conditionalFormatting sqref="G3:G11">
    <cfRule type="containsErrors" dxfId="296" priority="199">
      <formula>ISERROR(G3)</formula>
    </cfRule>
  </conditionalFormatting>
  <conditionalFormatting sqref="G3:G11">
    <cfRule type="containsErrors" dxfId="295" priority="198">
      <formula>ISERROR(G3)</formula>
    </cfRule>
  </conditionalFormatting>
  <conditionalFormatting sqref="I2:I11">
    <cfRule type="containsErrors" dxfId="294" priority="197">
      <formula>ISERROR(I2)</formula>
    </cfRule>
  </conditionalFormatting>
  <conditionalFormatting sqref="I2">
    <cfRule type="containsErrors" dxfId="293" priority="196">
      <formula>ISERROR(I2)</formula>
    </cfRule>
  </conditionalFormatting>
  <conditionalFormatting sqref="I2">
    <cfRule type="containsErrors" dxfId="292" priority="195">
      <formula>ISERROR(I2)</formula>
    </cfRule>
  </conditionalFormatting>
  <conditionalFormatting sqref="I2">
    <cfRule type="containsErrors" dxfId="291" priority="194">
      <formula>ISERROR(I2)</formula>
    </cfRule>
  </conditionalFormatting>
  <conditionalFormatting sqref="I3:I11">
    <cfRule type="containsErrors" dxfId="290" priority="193">
      <formula>ISERROR(I3)</formula>
    </cfRule>
  </conditionalFormatting>
  <conditionalFormatting sqref="I3:I11">
    <cfRule type="containsErrors" dxfId="289" priority="192">
      <formula>ISERROR(I3)</formula>
    </cfRule>
  </conditionalFormatting>
  <conditionalFormatting sqref="I3:I11">
    <cfRule type="containsErrors" dxfId="288" priority="191">
      <formula>ISERROR(I3)</formula>
    </cfRule>
  </conditionalFormatting>
  <conditionalFormatting sqref="C3:C11">
    <cfRule type="containsErrors" dxfId="287" priority="190">
      <formula>ISERROR(C3)</formula>
    </cfRule>
  </conditionalFormatting>
  <conditionalFormatting sqref="C3:C11">
    <cfRule type="containsErrors" dxfId="286" priority="189">
      <formula>ISERROR(C3)</formula>
    </cfRule>
  </conditionalFormatting>
  <conditionalFormatting sqref="E2:E11">
    <cfRule type="containsErrors" dxfId="285" priority="188">
      <formula>ISERROR(E2)</formula>
    </cfRule>
  </conditionalFormatting>
  <conditionalFormatting sqref="E2">
    <cfRule type="containsErrors" dxfId="284" priority="187">
      <formula>ISERROR(E2)</formula>
    </cfRule>
  </conditionalFormatting>
  <conditionalFormatting sqref="E2">
    <cfRule type="containsErrors" dxfId="283" priority="186">
      <formula>ISERROR(E2)</formula>
    </cfRule>
  </conditionalFormatting>
  <conditionalFormatting sqref="E3:E11">
    <cfRule type="containsErrors" dxfId="282" priority="185">
      <formula>ISERROR(E3)</formula>
    </cfRule>
  </conditionalFormatting>
  <conditionalFormatting sqref="E3:E11">
    <cfRule type="containsErrors" dxfId="281" priority="184">
      <formula>ISERROR(E3)</formula>
    </cfRule>
  </conditionalFormatting>
  <conditionalFormatting sqref="E3:E11">
    <cfRule type="containsErrors" dxfId="280" priority="183">
      <formula>ISERROR(E3)</formula>
    </cfRule>
  </conditionalFormatting>
  <conditionalFormatting sqref="E3:E11">
    <cfRule type="containsErrors" dxfId="279" priority="182">
      <formula>ISERROR(E3)</formula>
    </cfRule>
  </conditionalFormatting>
  <conditionalFormatting sqref="E3:E11">
    <cfRule type="containsErrors" dxfId="278" priority="181">
      <formula>ISERROR(E3)</formula>
    </cfRule>
  </conditionalFormatting>
  <conditionalFormatting sqref="E3:E11">
    <cfRule type="containsErrors" dxfId="277" priority="180">
      <formula>ISERROR(E3)</formula>
    </cfRule>
  </conditionalFormatting>
  <conditionalFormatting sqref="G2:G11">
    <cfRule type="containsErrors" dxfId="276" priority="179">
      <formula>ISERROR(G2)</formula>
    </cfRule>
  </conditionalFormatting>
  <conditionalFormatting sqref="G2">
    <cfRule type="containsErrors" dxfId="275" priority="178">
      <formula>ISERROR(G2)</formula>
    </cfRule>
  </conditionalFormatting>
  <conditionalFormatting sqref="G2">
    <cfRule type="containsErrors" dxfId="274" priority="177">
      <formula>ISERROR(G2)</formula>
    </cfRule>
  </conditionalFormatting>
  <conditionalFormatting sqref="G3:G11">
    <cfRule type="containsErrors" dxfId="273" priority="176">
      <formula>ISERROR(G3)</formula>
    </cfRule>
  </conditionalFormatting>
  <conditionalFormatting sqref="G3:G11">
    <cfRule type="containsErrors" dxfId="272" priority="175">
      <formula>ISERROR(G3)</formula>
    </cfRule>
  </conditionalFormatting>
  <conditionalFormatting sqref="G3:G11">
    <cfRule type="containsErrors" dxfId="271" priority="174">
      <formula>ISERROR(G3)</formula>
    </cfRule>
  </conditionalFormatting>
  <conditionalFormatting sqref="G3:G11">
    <cfRule type="containsErrors" dxfId="270" priority="173">
      <formula>ISERROR(G3)</formula>
    </cfRule>
  </conditionalFormatting>
  <conditionalFormatting sqref="G3:G11">
    <cfRule type="containsErrors" dxfId="269" priority="172">
      <formula>ISERROR(G3)</formula>
    </cfRule>
  </conditionalFormatting>
  <conditionalFormatting sqref="G3:G11">
    <cfRule type="containsErrors" dxfId="268" priority="171">
      <formula>ISERROR(G3)</formula>
    </cfRule>
  </conditionalFormatting>
  <conditionalFormatting sqref="I2:I11">
    <cfRule type="containsErrors" dxfId="267" priority="170">
      <formula>ISERROR(I2)</formula>
    </cfRule>
  </conditionalFormatting>
  <conditionalFormatting sqref="I2">
    <cfRule type="containsErrors" dxfId="266" priority="169">
      <formula>ISERROR(I2)</formula>
    </cfRule>
  </conditionalFormatting>
  <conditionalFormatting sqref="I2">
    <cfRule type="containsErrors" dxfId="265" priority="168">
      <formula>ISERROR(I2)</formula>
    </cfRule>
  </conditionalFormatting>
  <conditionalFormatting sqref="I3:I11">
    <cfRule type="containsErrors" dxfId="264" priority="167">
      <formula>ISERROR(I3)</formula>
    </cfRule>
  </conditionalFormatting>
  <conditionalFormatting sqref="I3:I11">
    <cfRule type="containsErrors" dxfId="263" priority="166">
      <formula>ISERROR(I3)</formula>
    </cfRule>
  </conditionalFormatting>
  <conditionalFormatting sqref="I3:I11">
    <cfRule type="containsErrors" dxfId="262" priority="165">
      <formula>ISERROR(I3)</formula>
    </cfRule>
  </conditionalFormatting>
  <conditionalFormatting sqref="I3:I11">
    <cfRule type="containsErrors" dxfId="261" priority="164">
      <formula>ISERROR(I3)</formula>
    </cfRule>
  </conditionalFormatting>
  <conditionalFormatting sqref="I3:I11">
    <cfRule type="containsErrors" dxfId="260" priority="163">
      <formula>ISERROR(I3)</formula>
    </cfRule>
  </conditionalFormatting>
  <conditionalFormatting sqref="I3:I11">
    <cfRule type="containsErrors" dxfId="259" priority="162">
      <formula>ISERROR(I3)</formula>
    </cfRule>
  </conditionalFormatting>
  <conditionalFormatting sqref="K2:K11">
    <cfRule type="containsErrors" dxfId="258" priority="161">
      <formula>ISERROR(K2)</formula>
    </cfRule>
  </conditionalFormatting>
  <conditionalFormatting sqref="K2">
    <cfRule type="containsErrors" dxfId="257" priority="160">
      <formula>ISERROR(K2)</formula>
    </cfRule>
  </conditionalFormatting>
  <conditionalFormatting sqref="K2">
    <cfRule type="containsErrors" dxfId="256" priority="159">
      <formula>ISERROR(K2)</formula>
    </cfRule>
  </conditionalFormatting>
  <conditionalFormatting sqref="K3:K11">
    <cfRule type="containsErrors" dxfId="255" priority="158">
      <formula>ISERROR(K3)</formula>
    </cfRule>
  </conditionalFormatting>
  <conditionalFormatting sqref="K3:K11">
    <cfRule type="containsErrors" dxfId="254" priority="157">
      <formula>ISERROR(K3)</formula>
    </cfRule>
  </conditionalFormatting>
  <conditionalFormatting sqref="K3:K11">
    <cfRule type="containsErrors" dxfId="253" priority="156">
      <formula>ISERROR(K3)</formula>
    </cfRule>
  </conditionalFormatting>
  <conditionalFormatting sqref="K3:K11">
    <cfRule type="containsErrors" dxfId="252" priority="155">
      <formula>ISERROR(K3)</formula>
    </cfRule>
  </conditionalFormatting>
  <conditionalFormatting sqref="K3:K11">
    <cfRule type="containsErrors" dxfId="251" priority="154">
      <formula>ISERROR(K3)</formula>
    </cfRule>
  </conditionalFormatting>
  <conditionalFormatting sqref="K3:K11">
    <cfRule type="containsErrors" dxfId="250" priority="153">
      <formula>ISERROR(K3)</formula>
    </cfRule>
  </conditionalFormatting>
  <conditionalFormatting sqref="C28:C37">
    <cfRule type="containsErrors" dxfId="249" priority="152">
      <formula>ISERROR(C28)</formula>
    </cfRule>
  </conditionalFormatting>
  <conditionalFormatting sqref="E28:E37">
    <cfRule type="containsErrors" dxfId="248" priority="151">
      <formula>ISERROR(E28)</formula>
    </cfRule>
  </conditionalFormatting>
  <conditionalFormatting sqref="G28:G37">
    <cfRule type="containsErrors" dxfId="247" priority="150">
      <formula>ISERROR(G28)</formula>
    </cfRule>
  </conditionalFormatting>
  <conditionalFormatting sqref="I28:I37">
    <cfRule type="containsErrors" dxfId="246" priority="149">
      <formula>ISERROR(I28)</formula>
    </cfRule>
  </conditionalFormatting>
  <conditionalFormatting sqref="K28:K37">
    <cfRule type="containsErrors" dxfId="245" priority="148">
      <formula>ISERROR(K28)</formula>
    </cfRule>
  </conditionalFormatting>
  <conditionalFormatting sqref="G28 I28 K28">
    <cfRule type="containsErrors" dxfId="244" priority="147">
      <formula>ISERROR(G28)</formula>
    </cfRule>
  </conditionalFormatting>
  <conditionalFormatting sqref="I28">
    <cfRule type="containsErrors" dxfId="243" priority="146">
      <formula>ISERROR(I28)</formula>
    </cfRule>
  </conditionalFormatting>
  <conditionalFormatting sqref="G29:G33">
    <cfRule type="containsErrors" dxfId="242" priority="145">
      <formula>ISERROR(G29)</formula>
    </cfRule>
  </conditionalFormatting>
  <conditionalFormatting sqref="G34:G37">
    <cfRule type="containsErrors" dxfId="241" priority="144">
      <formula>ISERROR(G34)</formula>
    </cfRule>
  </conditionalFormatting>
  <conditionalFormatting sqref="I29:I37">
    <cfRule type="containsErrors" dxfId="240" priority="143">
      <formula>ISERROR(I29)</formula>
    </cfRule>
  </conditionalFormatting>
  <conditionalFormatting sqref="I29:I37">
    <cfRule type="containsErrors" dxfId="239" priority="142">
      <formula>ISERROR(I29)</formula>
    </cfRule>
  </conditionalFormatting>
  <conditionalFormatting sqref="K29:K37">
    <cfRule type="containsErrors" dxfId="238" priority="141">
      <formula>ISERROR(K29)</formula>
    </cfRule>
  </conditionalFormatting>
  <conditionalFormatting sqref="C28">
    <cfRule type="containsErrors" dxfId="237" priority="140">
      <formula>ISERROR(C28)</formula>
    </cfRule>
  </conditionalFormatting>
  <conditionalFormatting sqref="C28">
    <cfRule type="containsErrors" dxfId="236" priority="139">
      <formula>ISERROR(C28)</formula>
    </cfRule>
  </conditionalFormatting>
  <conditionalFormatting sqref="C29:C37">
    <cfRule type="containsErrors" dxfId="235" priority="138">
      <formula>ISERROR(C29)</formula>
    </cfRule>
  </conditionalFormatting>
  <conditionalFormatting sqref="C29:C37">
    <cfRule type="containsErrors" dxfId="234" priority="137">
      <formula>ISERROR(C29)</formula>
    </cfRule>
  </conditionalFormatting>
  <conditionalFormatting sqref="C29:C37">
    <cfRule type="containsErrors" dxfId="233" priority="136">
      <formula>ISERROR(C29)</formula>
    </cfRule>
  </conditionalFormatting>
  <conditionalFormatting sqref="C29:C37">
    <cfRule type="containsErrors" dxfId="232" priority="135">
      <formula>ISERROR(C29)</formula>
    </cfRule>
  </conditionalFormatting>
  <conditionalFormatting sqref="E28">
    <cfRule type="containsErrors" dxfId="231" priority="134">
      <formula>ISERROR(E28)</formula>
    </cfRule>
  </conditionalFormatting>
  <conditionalFormatting sqref="E28">
    <cfRule type="containsErrors" dxfId="230" priority="133">
      <formula>ISERROR(E28)</formula>
    </cfRule>
  </conditionalFormatting>
  <conditionalFormatting sqref="E28">
    <cfRule type="containsErrors" dxfId="229" priority="132">
      <formula>ISERROR(E28)</formula>
    </cfRule>
  </conditionalFormatting>
  <conditionalFormatting sqref="E29:E37">
    <cfRule type="containsErrors" dxfId="228" priority="131">
      <formula>ISERROR(E29)</formula>
    </cfRule>
  </conditionalFormatting>
  <conditionalFormatting sqref="E29:E37">
    <cfRule type="containsErrors" dxfId="227" priority="130">
      <formula>ISERROR(E29)</formula>
    </cfRule>
  </conditionalFormatting>
  <conditionalFormatting sqref="E29:E37">
    <cfRule type="containsErrors" dxfId="226" priority="129">
      <formula>ISERROR(E29)</formula>
    </cfRule>
  </conditionalFormatting>
  <conditionalFormatting sqref="G28:G37">
    <cfRule type="containsErrors" dxfId="225" priority="128">
      <formula>ISERROR(G28)</formula>
    </cfRule>
  </conditionalFormatting>
  <conditionalFormatting sqref="G28">
    <cfRule type="containsErrors" dxfId="224" priority="127">
      <formula>ISERROR(G28)</formula>
    </cfRule>
  </conditionalFormatting>
  <conditionalFormatting sqref="G28">
    <cfRule type="containsErrors" dxfId="223" priority="126">
      <formula>ISERROR(G28)</formula>
    </cfRule>
  </conditionalFormatting>
  <conditionalFormatting sqref="G28">
    <cfRule type="containsErrors" dxfId="222" priority="125">
      <formula>ISERROR(G28)</formula>
    </cfRule>
  </conditionalFormatting>
  <conditionalFormatting sqref="G29:G37">
    <cfRule type="containsErrors" dxfId="221" priority="124">
      <formula>ISERROR(G29)</formula>
    </cfRule>
  </conditionalFormatting>
  <conditionalFormatting sqref="G29:G37">
    <cfRule type="containsErrors" dxfId="220" priority="123">
      <formula>ISERROR(G29)</formula>
    </cfRule>
  </conditionalFormatting>
  <conditionalFormatting sqref="G29:G37">
    <cfRule type="containsErrors" dxfId="219" priority="122">
      <formula>ISERROR(G29)</formula>
    </cfRule>
  </conditionalFormatting>
  <conditionalFormatting sqref="I28:I37">
    <cfRule type="containsErrors" dxfId="218" priority="121">
      <formula>ISERROR(I28)</formula>
    </cfRule>
  </conditionalFormatting>
  <conditionalFormatting sqref="I28">
    <cfRule type="containsErrors" dxfId="217" priority="120">
      <formula>ISERROR(I28)</formula>
    </cfRule>
  </conditionalFormatting>
  <conditionalFormatting sqref="I28">
    <cfRule type="containsErrors" dxfId="216" priority="119">
      <formula>ISERROR(I28)</formula>
    </cfRule>
  </conditionalFormatting>
  <conditionalFormatting sqref="I28">
    <cfRule type="containsErrors" dxfId="215" priority="118">
      <formula>ISERROR(I28)</formula>
    </cfRule>
  </conditionalFormatting>
  <conditionalFormatting sqref="I29:I37">
    <cfRule type="containsErrors" dxfId="214" priority="117">
      <formula>ISERROR(I29)</formula>
    </cfRule>
  </conditionalFormatting>
  <conditionalFormatting sqref="I29:I37">
    <cfRule type="containsErrors" dxfId="213" priority="116">
      <formula>ISERROR(I29)</formula>
    </cfRule>
  </conditionalFormatting>
  <conditionalFormatting sqref="I29:I37">
    <cfRule type="containsErrors" dxfId="212" priority="115">
      <formula>ISERROR(I29)</formula>
    </cfRule>
  </conditionalFormatting>
  <conditionalFormatting sqref="C29:C37">
    <cfRule type="containsErrors" dxfId="211" priority="114">
      <formula>ISERROR(C29)</formula>
    </cfRule>
  </conditionalFormatting>
  <conditionalFormatting sqref="C29:C37">
    <cfRule type="containsErrors" dxfId="210" priority="113">
      <formula>ISERROR(C29)</formula>
    </cfRule>
  </conditionalFormatting>
  <conditionalFormatting sqref="E28:E37">
    <cfRule type="containsErrors" dxfId="209" priority="112">
      <formula>ISERROR(E28)</formula>
    </cfRule>
  </conditionalFormatting>
  <conditionalFormatting sqref="E28">
    <cfRule type="containsErrors" dxfId="208" priority="111">
      <formula>ISERROR(E28)</formula>
    </cfRule>
  </conditionalFormatting>
  <conditionalFormatting sqref="E28">
    <cfRule type="containsErrors" dxfId="207" priority="110">
      <formula>ISERROR(E28)</formula>
    </cfRule>
  </conditionalFormatting>
  <conditionalFormatting sqref="E29:E37">
    <cfRule type="containsErrors" dxfId="206" priority="109">
      <formula>ISERROR(E29)</formula>
    </cfRule>
  </conditionalFormatting>
  <conditionalFormatting sqref="E29:E37">
    <cfRule type="containsErrors" dxfId="205" priority="108">
      <formula>ISERROR(E29)</formula>
    </cfRule>
  </conditionalFormatting>
  <conditionalFormatting sqref="E29:E37">
    <cfRule type="containsErrors" dxfId="204" priority="107">
      <formula>ISERROR(E29)</formula>
    </cfRule>
  </conditionalFormatting>
  <conditionalFormatting sqref="E29:E37">
    <cfRule type="containsErrors" dxfId="203" priority="106">
      <formula>ISERROR(E29)</formula>
    </cfRule>
  </conditionalFormatting>
  <conditionalFormatting sqref="E29:E37">
    <cfRule type="containsErrors" dxfId="202" priority="105">
      <formula>ISERROR(E29)</formula>
    </cfRule>
  </conditionalFormatting>
  <conditionalFormatting sqref="E29:E37">
    <cfRule type="containsErrors" dxfId="201" priority="104">
      <formula>ISERROR(E29)</formula>
    </cfRule>
  </conditionalFormatting>
  <conditionalFormatting sqref="G28:G37">
    <cfRule type="containsErrors" dxfId="200" priority="103">
      <formula>ISERROR(G28)</formula>
    </cfRule>
  </conditionalFormatting>
  <conditionalFormatting sqref="G28">
    <cfRule type="containsErrors" dxfId="199" priority="102">
      <formula>ISERROR(G28)</formula>
    </cfRule>
  </conditionalFormatting>
  <conditionalFormatting sqref="G28">
    <cfRule type="containsErrors" dxfId="198" priority="101">
      <formula>ISERROR(G28)</formula>
    </cfRule>
  </conditionalFormatting>
  <conditionalFormatting sqref="G29:G37">
    <cfRule type="containsErrors" dxfId="197" priority="100">
      <formula>ISERROR(G29)</formula>
    </cfRule>
  </conditionalFormatting>
  <conditionalFormatting sqref="G29:G37">
    <cfRule type="containsErrors" dxfId="196" priority="99">
      <formula>ISERROR(G29)</formula>
    </cfRule>
  </conditionalFormatting>
  <conditionalFormatting sqref="G29:G37">
    <cfRule type="containsErrors" dxfId="195" priority="98">
      <formula>ISERROR(G29)</formula>
    </cfRule>
  </conditionalFormatting>
  <conditionalFormatting sqref="G29:G37">
    <cfRule type="containsErrors" dxfId="194" priority="97">
      <formula>ISERROR(G29)</formula>
    </cfRule>
  </conditionalFormatting>
  <conditionalFormatting sqref="G29:G37">
    <cfRule type="containsErrors" dxfId="193" priority="96">
      <formula>ISERROR(G29)</formula>
    </cfRule>
  </conditionalFormatting>
  <conditionalFormatting sqref="G29:G37">
    <cfRule type="containsErrors" dxfId="192" priority="95">
      <formula>ISERROR(G29)</formula>
    </cfRule>
  </conditionalFormatting>
  <conditionalFormatting sqref="I28:I37">
    <cfRule type="containsErrors" dxfId="191" priority="94">
      <formula>ISERROR(I28)</formula>
    </cfRule>
  </conditionalFormatting>
  <conditionalFormatting sqref="I28">
    <cfRule type="containsErrors" dxfId="190" priority="93">
      <formula>ISERROR(I28)</formula>
    </cfRule>
  </conditionalFormatting>
  <conditionalFormatting sqref="I28">
    <cfRule type="containsErrors" dxfId="189" priority="92">
      <formula>ISERROR(I28)</formula>
    </cfRule>
  </conditionalFormatting>
  <conditionalFormatting sqref="I29:I37">
    <cfRule type="containsErrors" dxfId="188" priority="91">
      <formula>ISERROR(I29)</formula>
    </cfRule>
  </conditionalFormatting>
  <conditionalFormatting sqref="I29:I37">
    <cfRule type="containsErrors" dxfId="187" priority="90">
      <formula>ISERROR(I29)</formula>
    </cfRule>
  </conditionalFormatting>
  <conditionalFormatting sqref="I29:I37">
    <cfRule type="containsErrors" dxfId="186" priority="89">
      <formula>ISERROR(I29)</formula>
    </cfRule>
  </conditionalFormatting>
  <conditionalFormatting sqref="I29:I37">
    <cfRule type="containsErrors" dxfId="185" priority="88">
      <formula>ISERROR(I29)</formula>
    </cfRule>
  </conditionalFormatting>
  <conditionalFormatting sqref="I29:I37">
    <cfRule type="containsErrors" dxfId="184" priority="87">
      <formula>ISERROR(I29)</formula>
    </cfRule>
  </conditionalFormatting>
  <conditionalFormatting sqref="I29:I37">
    <cfRule type="containsErrors" dxfId="183" priority="86">
      <formula>ISERROR(I29)</formula>
    </cfRule>
  </conditionalFormatting>
  <conditionalFormatting sqref="K28:K37">
    <cfRule type="containsErrors" dxfId="182" priority="85">
      <formula>ISERROR(K28)</formula>
    </cfRule>
  </conditionalFormatting>
  <conditionalFormatting sqref="K28">
    <cfRule type="containsErrors" dxfId="181" priority="84">
      <formula>ISERROR(K28)</formula>
    </cfRule>
  </conditionalFormatting>
  <conditionalFormatting sqref="K28">
    <cfRule type="containsErrors" dxfId="180" priority="83">
      <formula>ISERROR(K28)</formula>
    </cfRule>
  </conditionalFormatting>
  <conditionalFormatting sqref="K29:K37">
    <cfRule type="containsErrors" dxfId="179" priority="82">
      <formula>ISERROR(K29)</formula>
    </cfRule>
  </conditionalFormatting>
  <conditionalFormatting sqref="K29:K37">
    <cfRule type="containsErrors" dxfId="178" priority="81">
      <formula>ISERROR(K29)</formula>
    </cfRule>
  </conditionalFormatting>
  <conditionalFormatting sqref="K29:K37">
    <cfRule type="containsErrors" dxfId="177" priority="80">
      <formula>ISERROR(K29)</formula>
    </cfRule>
  </conditionalFormatting>
  <conditionalFormatting sqref="K29:K37">
    <cfRule type="containsErrors" dxfId="176" priority="79">
      <formula>ISERROR(K29)</formula>
    </cfRule>
  </conditionalFormatting>
  <conditionalFormatting sqref="K29:K37">
    <cfRule type="containsErrors" dxfId="175" priority="78">
      <formula>ISERROR(K29)</formula>
    </cfRule>
  </conditionalFormatting>
  <conditionalFormatting sqref="K29:K37">
    <cfRule type="containsErrors" dxfId="174" priority="77">
      <formula>ISERROR(K29)</formula>
    </cfRule>
  </conditionalFormatting>
  <conditionalFormatting sqref="C28:C37">
    <cfRule type="containsErrors" dxfId="173" priority="76">
      <formula>ISERROR(C28)</formula>
    </cfRule>
  </conditionalFormatting>
  <conditionalFormatting sqref="E28:E37">
    <cfRule type="containsErrors" dxfId="172" priority="75">
      <formula>ISERROR(E28)</formula>
    </cfRule>
  </conditionalFormatting>
  <conditionalFormatting sqref="G28:G37">
    <cfRule type="containsErrors" dxfId="171" priority="74">
      <formula>ISERROR(G28)</formula>
    </cfRule>
  </conditionalFormatting>
  <conditionalFormatting sqref="I28:I37">
    <cfRule type="containsErrors" dxfId="170" priority="73">
      <formula>ISERROR(I28)</formula>
    </cfRule>
  </conditionalFormatting>
  <conditionalFormatting sqref="K28:K37">
    <cfRule type="containsErrors" dxfId="169" priority="72">
      <formula>ISERROR(K28)</formula>
    </cfRule>
  </conditionalFormatting>
  <conditionalFormatting sqref="G28 I28 K28">
    <cfRule type="containsErrors" dxfId="168" priority="71">
      <formula>ISERROR(G28)</formula>
    </cfRule>
  </conditionalFormatting>
  <conditionalFormatting sqref="I28">
    <cfRule type="containsErrors" dxfId="167" priority="70">
      <formula>ISERROR(I28)</formula>
    </cfRule>
  </conditionalFormatting>
  <conditionalFormatting sqref="G29:G33">
    <cfRule type="containsErrors" dxfId="166" priority="69">
      <formula>ISERROR(G29)</formula>
    </cfRule>
  </conditionalFormatting>
  <conditionalFormatting sqref="G34:G37">
    <cfRule type="containsErrors" dxfId="165" priority="68">
      <formula>ISERROR(G34)</formula>
    </cfRule>
  </conditionalFormatting>
  <conditionalFormatting sqref="I29:I37">
    <cfRule type="containsErrors" dxfId="164" priority="67">
      <formula>ISERROR(I29)</formula>
    </cfRule>
  </conditionalFormatting>
  <conditionalFormatting sqref="I29:I37">
    <cfRule type="containsErrors" dxfId="163" priority="66">
      <formula>ISERROR(I29)</formula>
    </cfRule>
  </conditionalFormatting>
  <conditionalFormatting sqref="K29:K37">
    <cfRule type="containsErrors" dxfId="162" priority="65">
      <formula>ISERROR(K29)</formula>
    </cfRule>
  </conditionalFormatting>
  <conditionalFormatting sqref="C28">
    <cfRule type="containsErrors" dxfId="161" priority="64">
      <formula>ISERROR(C28)</formula>
    </cfRule>
  </conditionalFormatting>
  <conditionalFormatting sqref="C28">
    <cfRule type="containsErrors" dxfId="160" priority="63">
      <formula>ISERROR(C28)</formula>
    </cfRule>
  </conditionalFormatting>
  <conditionalFormatting sqref="C29:C37">
    <cfRule type="containsErrors" dxfId="159" priority="62">
      <formula>ISERROR(C29)</formula>
    </cfRule>
  </conditionalFormatting>
  <conditionalFormatting sqref="C29:C37">
    <cfRule type="containsErrors" dxfId="158" priority="61">
      <formula>ISERROR(C29)</formula>
    </cfRule>
  </conditionalFormatting>
  <conditionalFormatting sqref="C29:C37">
    <cfRule type="containsErrors" dxfId="157" priority="60">
      <formula>ISERROR(C29)</formula>
    </cfRule>
  </conditionalFormatting>
  <conditionalFormatting sqref="C29:C37">
    <cfRule type="containsErrors" dxfId="156" priority="59">
      <formula>ISERROR(C29)</formula>
    </cfRule>
  </conditionalFormatting>
  <conditionalFormatting sqref="E28">
    <cfRule type="containsErrors" dxfId="155" priority="58">
      <formula>ISERROR(E28)</formula>
    </cfRule>
  </conditionalFormatting>
  <conditionalFormatting sqref="E28">
    <cfRule type="containsErrors" dxfId="154" priority="57">
      <formula>ISERROR(E28)</formula>
    </cfRule>
  </conditionalFormatting>
  <conditionalFormatting sqref="E28">
    <cfRule type="containsErrors" dxfId="153" priority="56">
      <formula>ISERROR(E28)</formula>
    </cfRule>
  </conditionalFormatting>
  <conditionalFormatting sqref="E29:E37">
    <cfRule type="containsErrors" dxfId="152" priority="55">
      <formula>ISERROR(E29)</formula>
    </cfRule>
  </conditionalFormatting>
  <conditionalFormatting sqref="E29:E37">
    <cfRule type="containsErrors" dxfId="151" priority="54">
      <formula>ISERROR(E29)</formula>
    </cfRule>
  </conditionalFormatting>
  <conditionalFormatting sqref="E29:E37">
    <cfRule type="containsErrors" dxfId="150" priority="53">
      <formula>ISERROR(E29)</formula>
    </cfRule>
  </conditionalFormatting>
  <conditionalFormatting sqref="G28:G37">
    <cfRule type="containsErrors" dxfId="149" priority="52">
      <formula>ISERROR(G28)</formula>
    </cfRule>
  </conditionalFormatting>
  <conditionalFormatting sqref="G28">
    <cfRule type="containsErrors" dxfId="148" priority="51">
      <formula>ISERROR(G28)</formula>
    </cfRule>
  </conditionalFormatting>
  <conditionalFormatting sqref="G28">
    <cfRule type="containsErrors" dxfId="147" priority="50">
      <formula>ISERROR(G28)</formula>
    </cfRule>
  </conditionalFormatting>
  <conditionalFormatting sqref="G28">
    <cfRule type="containsErrors" dxfId="146" priority="49">
      <formula>ISERROR(G28)</formula>
    </cfRule>
  </conditionalFormatting>
  <conditionalFormatting sqref="G29:G37">
    <cfRule type="containsErrors" dxfId="145" priority="48">
      <formula>ISERROR(G29)</formula>
    </cfRule>
  </conditionalFormatting>
  <conditionalFormatting sqref="G29:G37">
    <cfRule type="containsErrors" dxfId="144" priority="47">
      <formula>ISERROR(G29)</formula>
    </cfRule>
  </conditionalFormatting>
  <conditionalFormatting sqref="G29:G37">
    <cfRule type="containsErrors" dxfId="143" priority="46">
      <formula>ISERROR(G29)</formula>
    </cfRule>
  </conditionalFormatting>
  <conditionalFormatting sqref="I28:I37">
    <cfRule type="containsErrors" dxfId="142" priority="45">
      <formula>ISERROR(I28)</formula>
    </cfRule>
  </conditionalFormatting>
  <conditionalFormatting sqref="I28">
    <cfRule type="containsErrors" dxfId="141" priority="44">
      <formula>ISERROR(I28)</formula>
    </cfRule>
  </conditionalFormatting>
  <conditionalFormatting sqref="I28">
    <cfRule type="containsErrors" dxfId="140" priority="43">
      <formula>ISERROR(I28)</formula>
    </cfRule>
  </conditionalFormatting>
  <conditionalFormatting sqref="I28">
    <cfRule type="containsErrors" dxfId="139" priority="42">
      <formula>ISERROR(I28)</formula>
    </cfRule>
  </conditionalFormatting>
  <conditionalFormatting sqref="I29:I37">
    <cfRule type="containsErrors" dxfId="138" priority="41">
      <formula>ISERROR(I29)</formula>
    </cfRule>
  </conditionalFormatting>
  <conditionalFormatting sqref="I29:I37">
    <cfRule type="containsErrors" dxfId="137" priority="40">
      <formula>ISERROR(I29)</formula>
    </cfRule>
  </conditionalFormatting>
  <conditionalFormatting sqref="I29:I37">
    <cfRule type="containsErrors" dxfId="136" priority="39">
      <formula>ISERROR(I29)</formula>
    </cfRule>
  </conditionalFormatting>
  <conditionalFormatting sqref="C29:C37">
    <cfRule type="containsErrors" dxfId="135" priority="38">
      <formula>ISERROR(C29)</formula>
    </cfRule>
  </conditionalFormatting>
  <conditionalFormatting sqref="C29:C37">
    <cfRule type="containsErrors" dxfId="134" priority="37">
      <formula>ISERROR(C29)</formula>
    </cfRule>
  </conditionalFormatting>
  <conditionalFormatting sqref="E28:E37">
    <cfRule type="containsErrors" dxfId="133" priority="36">
      <formula>ISERROR(E28)</formula>
    </cfRule>
  </conditionalFormatting>
  <conditionalFormatting sqref="E28">
    <cfRule type="containsErrors" dxfId="132" priority="35">
      <formula>ISERROR(E28)</formula>
    </cfRule>
  </conditionalFormatting>
  <conditionalFormatting sqref="E28">
    <cfRule type="containsErrors" dxfId="131" priority="34">
      <formula>ISERROR(E28)</formula>
    </cfRule>
  </conditionalFormatting>
  <conditionalFormatting sqref="E29:E37">
    <cfRule type="containsErrors" dxfId="130" priority="33">
      <formula>ISERROR(E29)</formula>
    </cfRule>
  </conditionalFormatting>
  <conditionalFormatting sqref="E29:E37">
    <cfRule type="containsErrors" dxfId="129" priority="32">
      <formula>ISERROR(E29)</formula>
    </cfRule>
  </conditionalFormatting>
  <conditionalFormatting sqref="E29:E37">
    <cfRule type="containsErrors" dxfId="128" priority="31">
      <formula>ISERROR(E29)</formula>
    </cfRule>
  </conditionalFormatting>
  <conditionalFormatting sqref="E29:E37">
    <cfRule type="containsErrors" dxfId="127" priority="30">
      <formula>ISERROR(E29)</formula>
    </cfRule>
  </conditionalFormatting>
  <conditionalFormatting sqref="E29:E37">
    <cfRule type="containsErrors" dxfId="126" priority="29">
      <formula>ISERROR(E29)</formula>
    </cfRule>
  </conditionalFormatting>
  <conditionalFormatting sqref="E29:E37">
    <cfRule type="containsErrors" dxfId="125" priority="28">
      <formula>ISERROR(E29)</formula>
    </cfRule>
  </conditionalFormatting>
  <conditionalFormatting sqref="G28:G37">
    <cfRule type="containsErrors" dxfId="124" priority="27">
      <formula>ISERROR(G28)</formula>
    </cfRule>
  </conditionalFormatting>
  <conditionalFormatting sqref="G28">
    <cfRule type="containsErrors" dxfId="123" priority="26">
      <formula>ISERROR(G28)</formula>
    </cfRule>
  </conditionalFormatting>
  <conditionalFormatting sqref="G28">
    <cfRule type="containsErrors" dxfId="122" priority="25">
      <formula>ISERROR(G28)</formula>
    </cfRule>
  </conditionalFormatting>
  <conditionalFormatting sqref="G29:G37">
    <cfRule type="containsErrors" dxfId="121" priority="24">
      <formula>ISERROR(G29)</formula>
    </cfRule>
  </conditionalFormatting>
  <conditionalFormatting sqref="G29:G37">
    <cfRule type="containsErrors" dxfId="120" priority="23">
      <formula>ISERROR(G29)</formula>
    </cfRule>
  </conditionalFormatting>
  <conditionalFormatting sqref="G29:G37">
    <cfRule type="containsErrors" dxfId="119" priority="22">
      <formula>ISERROR(G29)</formula>
    </cfRule>
  </conditionalFormatting>
  <conditionalFormatting sqref="G29:G37">
    <cfRule type="containsErrors" dxfId="118" priority="21">
      <formula>ISERROR(G29)</formula>
    </cfRule>
  </conditionalFormatting>
  <conditionalFormatting sqref="G29:G37">
    <cfRule type="containsErrors" dxfId="117" priority="20">
      <formula>ISERROR(G29)</formula>
    </cfRule>
  </conditionalFormatting>
  <conditionalFormatting sqref="G29:G37">
    <cfRule type="containsErrors" dxfId="116" priority="19">
      <formula>ISERROR(G29)</formula>
    </cfRule>
  </conditionalFormatting>
  <conditionalFormatting sqref="I28:I37">
    <cfRule type="containsErrors" dxfId="115" priority="18">
      <formula>ISERROR(I28)</formula>
    </cfRule>
  </conditionalFormatting>
  <conditionalFormatting sqref="I28">
    <cfRule type="containsErrors" dxfId="114" priority="17">
      <formula>ISERROR(I28)</formula>
    </cfRule>
  </conditionalFormatting>
  <conditionalFormatting sqref="I28">
    <cfRule type="containsErrors" dxfId="113" priority="16">
      <formula>ISERROR(I28)</formula>
    </cfRule>
  </conditionalFormatting>
  <conditionalFormatting sqref="I29:I37">
    <cfRule type="containsErrors" dxfId="112" priority="15">
      <formula>ISERROR(I29)</formula>
    </cfRule>
  </conditionalFormatting>
  <conditionalFormatting sqref="I29:I37">
    <cfRule type="containsErrors" dxfId="111" priority="14">
      <formula>ISERROR(I29)</formula>
    </cfRule>
  </conditionalFormatting>
  <conditionalFormatting sqref="I29:I37">
    <cfRule type="containsErrors" dxfId="110" priority="13">
      <formula>ISERROR(I29)</formula>
    </cfRule>
  </conditionalFormatting>
  <conditionalFormatting sqref="I29:I37">
    <cfRule type="containsErrors" dxfId="109" priority="12">
      <formula>ISERROR(I29)</formula>
    </cfRule>
  </conditionalFormatting>
  <conditionalFormatting sqref="I29:I37">
    <cfRule type="containsErrors" dxfId="108" priority="11">
      <formula>ISERROR(I29)</formula>
    </cfRule>
  </conditionalFormatting>
  <conditionalFormatting sqref="I29:I37">
    <cfRule type="containsErrors" dxfId="107" priority="10">
      <formula>ISERROR(I29)</formula>
    </cfRule>
  </conditionalFormatting>
  <conditionalFormatting sqref="K28:K37">
    <cfRule type="containsErrors" dxfId="106" priority="9">
      <formula>ISERROR(K28)</formula>
    </cfRule>
  </conditionalFormatting>
  <conditionalFormatting sqref="K28">
    <cfRule type="containsErrors" dxfId="105" priority="8">
      <formula>ISERROR(K28)</formula>
    </cfRule>
  </conditionalFormatting>
  <conditionalFormatting sqref="K28">
    <cfRule type="containsErrors" dxfId="104" priority="7">
      <formula>ISERROR(K28)</formula>
    </cfRule>
  </conditionalFormatting>
  <conditionalFormatting sqref="K29:K37">
    <cfRule type="containsErrors" dxfId="103" priority="6">
      <formula>ISERROR(K29)</formula>
    </cfRule>
  </conditionalFormatting>
  <conditionalFormatting sqref="K29:K37">
    <cfRule type="containsErrors" dxfId="102" priority="5">
      <formula>ISERROR(K29)</formula>
    </cfRule>
  </conditionalFormatting>
  <conditionalFormatting sqref="K29:K37">
    <cfRule type="containsErrors" dxfId="101" priority="4">
      <formula>ISERROR(K29)</formula>
    </cfRule>
  </conditionalFormatting>
  <conditionalFormatting sqref="K29:K37">
    <cfRule type="containsErrors" dxfId="100" priority="3">
      <formula>ISERROR(K29)</formula>
    </cfRule>
  </conditionalFormatting>
  <conditionalFormatting sqref="K29:K37">
    <cfRule type="containsErrors" dxfId="99" priority="2">
      <formula>ISERROR(K29)</formula>
    </cfRule>
  </conditionalFormatting>
  <conditionalFormatting sqref="K29:K37">
    <cfRule type="containsErrors" dxfId="98"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BC51"/>
  <sheetViews>
    <sheetView workbookViewId="0">
      <selection activeCell="AL31" sqref="AL31"/>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4051</v>
      </c>
      <c r="AG5" s="129"/>
      <c r="AH5" s="130"/>
      <c r="AI5" s="125" t="s">
        <v>1623</v>
      </c>
      <c r="AJ5" s="129"/>
      <c r="AK5" s="130"/>
      <c r="AL5" s="125" t="s">
        <v>1223</v>
      </c>
      <c r="AM5" s="129"/>
      <c r="AN5" s="130"/>
    </row>
    <row r="6" spans="1:40" ht="13.5" thickBot="1">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0</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c r="AJ7" s="138"/>
      <c r="AK7" s="139"/>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12</v>
      </c>
      <c r="J22" s="152">
        <f>SUM(J7:J21)</f>
        <v>0</v>
      </c>
      <c r="M22" s="152">
        <f>SUM(M7:M21)</f>
        <v>9</v>
      </c>
      <c r="P22" s="152">
        <f>SUM(P7:P21)</f>
        <v>0</v>
      </c>
      <c r="S22" s="152">
        <f>SUM(S7:S21)</f>
        <v>1</v>
      </c>
      <c r="V22" s="152">
        <f>SUM(V7:V21)</f>
        <v>0</v>
      </c>
      <c r="Y22" s="152">
        <f>SUM(Y7:Y21)</f>
        <v>8</v>
      </c>
      <c r="AB22" s="97">
        <f>SUM(AB7:AB21)</f>
        <v>7</v>
      </c>
      <c r="AE22" s="152">
        <f>SUM(AE7:AE21)</f>
        <v>15</v>
      </c>
      <c r="AH22" s="152">
        <f>SUM(AH7:AH21)</f>
        <v>3</v>
      </c>
      <c r="AK22" s="152">
        <f>SUM(AK7:AK21)</f>
        <v>0</v>
      </c>
      <c r="AN22" s="152">
        <f>SUM(AN7:AN21)</f>
        <v>6</v>
      </c>
    </row>
    <row r="26" spans="1:55" ht="13.5" thickBot="1"/>
    <row r="27" spans="1:55">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3815</v>
      </c>
      <c r="AS27" s="129"/>
      <c r="AT27" s="130"/>
      <c r="AU27" s="125" t="s">
        <v>3816</v>
      </c>
      <c r="AV27" s="129"/>
      <c r="AW27" s="130"/>
      <c r="AX27" s="125" t="s">
        <v>3817</v>
      </c>
      <c r="AY27" s="129"/>
      <c r="AZ27" s="130"/>
      <c r="BA27" s="125" t="s">
        <v>3818</v>
      </c>
      <c r="BB27" s="129"/>
      <c r="BC27" s="130"/>
    </row>
    <row r="28" spans="1:55" ht="13.5" thickBot="1">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c r="BB29" s="138"/>
      <c r="BC29" s="139"/>
    </row>
    <row r="30" spans="1:55">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6" t="s">
        <v>3208</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8</v>
      </c>
      <c r="M44" s="152">
        <f>SUM(M29:M43)</f>
        <v>2</v>
      </c>
      <c r="P44" s="152">
        <f>SUM(P29:P43)</f>
        <v>4</v>
      </c>
      <c r="S44" s="152">
        <f>SUM(S29:S43)</f>
        <v>3</v>
      </c>
      <c r="V44" s="152">
        <f>SUM(V29:V43)</f>
        <v>0</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0</v>
      </c>
    </row>
    <row r="47" spans="1:55">
      <c r="AC47" s="3"/>
    </row>
    <row r="48" spans="1:55">
      <c r="AC48" s="3"/>
    </row>
    <row r="49" spans="29:29">
      <c r="AC49" s="3"/>
    </row>
    <row r="50" spans="29:29">
      <c r="AC50" s="276"/>
    </row>
    <row r="51" spans="29:29">
      <c r="AC51" s="276"/>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topLeftCell="F3" workbookViewId="0">
      <selection activeCell="M30" sqref="M5:Q30"/>
    </sheetView>
  </sheetViews>
  <sheetFormatPr baseColWidth="10" defaultRowHeight="12.75"/>
  <cols>
    <col min="1" max="1" width="25.7109375" customWidth="1"/>
    <col min="2" max="2" width="12.42578125" customWidth="1"/>
    <col min="3" max="3" width="1.85546875" customWidth="1"/>
    <col min="4" max="4" width="27.7109375" customWidth="1"/>
    <col min="5" max="5" width="12.42578125" customWidth="1"/>
    <col min="6" max="6" width="2.140625" customWidth="1"/>
    <col min="7" max="7" width="24" customWidth="1"/>
    <col min="8" max="8" width="12.42578125" customWidth="1"/>
    <col min="9" max="9" width="2.28515625" customWidth="1"/>
    <col min="10" max="10" width="27.7109375" customWidth="1"/>
    <col min="11" max="11" width="12.42578125" customWidth="1"/>
    <col min="12" max="12" width="3" customWidth="1"/>
    <col min="13" max="13" width="27.7109375" customWidth="1"/>
    <col min="14" max="14" width="12.42578125" customWidth="1"/>
    <col min="15" max="15" width="2.7109375" customWidth="1"/>
    <col min="16" max="16" width="22" customWidth="1"/>
    <col min="17" max="17" width="12.42578125" customWidth="1"/>
  </cols>
  <sheetData>
    <row r="5" spans="1:19">
      <c r="A5" s="405" t="s">
        <v>5</v>
      </c>
      <c r="B5" s="406">
        <v>45257</v>
      </c>
      <c r="D5" s="108" t="s">
        <v>5</v>
      </c>
      <c r="E5" s="181">
        <v>45258</v>
      </c>
      <c r="G5" s="108" t="s">
        <v>5</v>
      </c>
      <c r="H5" s="181">
        <v>45259</v>
      </c>
      <c r="J5" s="108" t="s">
        <v>5</v>
      </c>
      <c r="K5" s="181">
        <v>45260</v>
      </c>
      <c r="L5" s="181"/>
      <c r="M5" s="108" t="s">
        <v>5</v>
      </c>
      <c r="N5" s="181">
        <v>45261</v>
      </c>
      <c r="P5" s="108" t="s">
        <v>5</v>
      </c>
      <c r="Q5" s="181">
        <v>45264</v>
      </c>
      <c r="S5" s="10" t="s">
        <v>3695</v>
      </c>
    </row>
    <row r="6" spans="1:19">
      <c r="A6" s="10"/>
      <c r="B6" s="10" t="s">
        <v>3514</v>
      </c>
      <c r="S6" s="10" t="s">
        <v>3696</v>
      </c>
    </row>
    <row r="7" spans="1:19" ht="14.25">
      <c r="A7" s="410" t="s">
        <v>1483</v>
      </c>
      <c r="B7" t="s">
        <v>1440</v>
      </c>
      <c r="D7" s="108" t="s">
        <v>1483</v>
      </c>
      <c r="G7" s="108" t="s">
        <v>1483</v>
      </c>
      <c r="J7" s="108" t="s">
        <v>1483</v>
      </c>
      <c r="M7" s="108" t="s">
        <v>1483</v>
      </c>
      <c r="P7" s="108" t="s">
        <v>1483</v>
      </c>
      <c r="S7" s="10" t="s">
        <v>3697</v>
      </c>
    </row>
    <row r="8" spans="1:19" ht="14.25">
      <c r="A8" s="404" t="s">
        <v>31</v>
      </c>
      <c r="D8" s="404" t="s">
        <v>31</v>
      </c>
      <c r="G8" s="404" t="s">
        <v>35</v>
      </c>
      <c r="J8" s="404" t="s">
        <v>31</v>
      </c>
      <c r="M8" s="404" t="s">
        <v>31</v>
      </c>
      <c r="P8" s="18" t="s">
        <v>33</v>
      </c>
    </row>
    <row r="9" spans="1:19">
      <c r="A9" s="408" t="s">
        <v>3363</v>
      </c>
      <c r="D9" s="109" t="s">
        <v>1441</v>
      </c>
      <c r="G9" s="109" t="s">
        <v>2835</v>
      </c>
      <c r="J9" s="109" t="s">
        <v>3362</v>
      </c>
      <c r="M9" s="109" t="s">
        <v>1440</v>
      </c>
      <c r="P9" s="109" t="s">
        <v>1442</v>
      </c>
      <c r="S9" s="10" t="s">
        <v>3698</v>
      </c>
    </row>
    <row r="10" spans="1:19">
      <c r="A10" s="409" t="s">
        <v>73</v>
      </c>
      <c r="D10" s="110" t="s">
        <v>1086</v>
      </c>
      <c r="G10" s="110" t="s">
        <v>1086</v>
      </c>
      <c r="J10" s="110" t="s">
        <v>73</v>
      </c>
      <c r="M10" s="110" t="s">
        <v>1086</v>
      </c>
      <c r="P10" s="110" t="s">
        <v>73</v>
      </c>
      <c r="S10" s="10" t="s">
        <v>3699</v>
      </c>
    </row>
    <row r="11" spans="1:19" ht="14.25">
      <c r="A11" s="404" t="s">
        <v>35</v>
      </c>
      <c r="D11" s="404" t="s">
        <v>35</v>
      </c>
      <c r="G11" s="18" t="s">
        <v>33</v>
      </c>
      <c r="J11" s="18" t="s">
        <v>33</v>
      </c>
      <c r="M11" s="404" t="s">
        <v>35</v>
      </c>
      <c r="P11" s="18" t="s">
        <v>2951</v>
      </c>
    </row>
    <row r="12" spans="1:19">
      <c r="A12" s="408" t="s">
        <v>568</v>
      </c>
      <c r="D12" s="109" t="s">
        <v>1440</v>
      </c>
      <c r="G12" s="109" t="s">
        <v>1442</v>
      </c>
      <c r="J12" s="109" t="s">
        <v>283</v>
      </c>
      <c r="M12" s="109" t="s">
        <v>1441</v>
      </c>
      <c r="P12" s="109" t="s">
        <v>1441</v>
      </c>
      <c r="S12" s="10" t="s">
        <v>3700</v>
      </c>
    </row>
    <row r="13" spans="1:19">
      <c r="A13" s="409" t="s">
        <v>73</v>
      </c>
      <c r="B13" s="324"/>
      <c r="D13" s="110" t="s">
        <v>73</v>
      </c>
      <c r="E13" s="324"/>
      <c r="G13" s="110" t="s">
        <v>1086</v>
      </c>
      <c r="H13" s="324"/>
      <c r="J13" s="110" t="s">
        <v>73</v>
      </c>
      <c r="K13" s="324"/>
      <c r="L13" s="324"/>
      <c r="M13" s="110" t="s">
        <v>73</v>
      </c>
      <c r="N13" s="324"/>
      <c r="P13" s="110" t="s">
        <v>73</v>
      </c>
      <c r="Q13" s="324"/>
      <c r="S13" s="10" t="s">
        <v>3701</v>
      </c>
    </row>
    <row r="14" spans="1:19">
      <c r="A14" s="407" t="s">
        <v>33</v>
      </c>
      <c r="B14" s="324"/>
      <c r="D14" s="18" t="s">
        <v>1220</v>
      </c>
      <c r="E14" s="324"/>
      <c r="G14" s="109" t="s">
        <v>568</v>
      </c>
      <c r="H14" s="324"/>
      <c r="J14" s="18" t="s">
        <v>1220</v>
      </c>
      <c r="K14" s="324"/>
      <c r="L14" s="324"/>
      <c r="M14" s="18" t="s">
        <v>33</v>
      </c>
      <c r="N14" s="324"/>
      <c r="P14" s="18" t="s">
        <v>1484</v>
      </c>
      <c r="Q14" s="324"/>
    </row>
    <row r="15" spans="1:19">
      <c r="A15" s="408" t="s">
        <v>283</v>
      </c>
      <c r="B15" s="324"/>
      <c r="D15" s="109" t="s">
        <v>3363</v>
      </c>
      <c r="E15" s="324"/>
      <c r="G15" s="110" t="s">
        <v>73</v>
      </c>
      <c r="H15" s="324"/>
      <c r="J15" s="109" t="s">
        <v>1440</v>
      </c>
      <c r="K15" s="324"/>
      <c r="L15" s="324"/>
      <c r="M15" s="109" t="s">
        <v>568</v>
      </c>
      <c r="N15" s="324"/>
      <c r="Q15" s="324"/>
      <c r="S15" s="10" t="s">
        <v>3702</v>
      </c>
    </row>
    <row r="16" spans="1:19">
      <c r="A16" s="409" t="s">
        <v>73</v>
      </c>
      <c r="B16" s="324" t="s">
        <v>3045</v>
      </c>
      <c r="D16" s="110" t="s">
        <v>1086</v>
      </c>
      <c r="E16" s="324" t="s">
        <v>3045</v>
      </c>
      <c r="G16" s="18" t="s">
        <v>78</v>
      </c>
      <c r="H16" s="324" t="s">
        <v>3045</v>
      </c>
      <c r="J16" s="110" t="s">
        <v>1086</v>
      </c>
      <c r="K16" s="324" t="s">
        <v>3045</v>
      </c>
      <c r="L16" s="324"/>
      <c r="M16" s="110" t="s">
        <v>73</v>
      </c>
      <c r="N16" s="324" t="s">
        <v>3045</v>
      </c>
      <c r="Q16" s="324" t="s">
        <v>3045</v>
      </c>
      <c r="S16" s="10" t="s">
        <v>3703</v>
      </c>
    </row>
    <row r="17" spans="1:19">
      <c r="A17" s="408" t="s">
        <v>2771</v>
      </c>
      <c r="B17" s="324" t="s">
        <v>3044</v>
      </c>
      <c r="D17" s="18" t="s">
        <v>78</v>
      </c>
      <c r="E17" s="324" t="s">
        <v>3044</v>
      </c>
      <c r="G17" s="109" t="s">
        <v>3362</v>
      </c>
      <c r="H17" s="324" t="s">
        <v>3044</v>
      </c>
      <c r="J17" s="109" t="s">
        <v>2835</v>
      </c>
      <c r="K17" s="324" t="s">
        <v>3044</v>
      </c>
      <c r="L17" s="324"/>
      <c r="M17" s="18" t="s">
        <v>1220</v>
      </c>
      <c r="N17" s="324" t="s">
        <v>3044</v>
      </c>
      <c r="Q17" s="324" t="s">
        <v>3044</v>
      </c>
    </row>
    <row r="18" spans="1:19">
      <c r="A18" s="409" t="s">
        <v>1086</v>
      </c>
      <c r="B18" s="324" t="s">
        <v>3043</v>
      </c>
      <c r="D18" s="109" t="s">
        <v>1440</v>
      </c>
      <c r="E18" s="324" t="s">
        <v>3043</v>
      </c>
      <c r="G18" s="110" t="s">
        <v>1209</v>
      </c>
      <c r="H18" s="324" t="s">
        <v>3043</v>
      </c>
      <c r="J18" s="110" t="s">
        <v>73</v>
      </c>
      <c r="K18" s="324" t="s">
        <v>3043</v>
      </c>
      <c r="L18" s="324"/>
      <c r="M18" s="109" t="s">
        <v>2835</v>
      </c>
      <c r="N18" s="324" t="s">
        <v>3043</v>
      </c>
      <c r="Q18" s="324" t="s">
        <v>3043</v>
      </c>
      <c r="S18" s="10" t="s">
        <v>3704</v>
      </c>
    </row>
    <row r="19" spans="1:19">
      <c r="A19" s="407" t="s">
        <v>1220</v>
      </c>
      <c r="B19" s="324" t="s">
        <v>3048</v>
      </c>
      <c r="D19" s="110" t="s">
        <v>73</v>
      </c>
      <c r="E19" s="324" t="s">
        <v>3048</v>
      </c>
      <c r="G19" s="18" t="s">
        <v>1224</v>
      </c>
      <c r="H19" s="324" t="s">
        <v>3048</v>
      </c>
      <c r="J19" s="18" t="s">
        <v>78</v>
      </c>
      <c r="K19" s="324" t="s">
        <v>3048</v>
      </c>
      <c r="L19" s="324"/>
      <c r="M19" s="110" t="s">
        <v>1086</v>
      </c>
      <c r="N19" s="324" t="s">
        <v>3048</v>
      </c>
      <c r="Q19" s="324" t="s">
        <v>3048</v>
      </c>
      <c r="S19" s="10" t="s">
        <v>743</v>
      </c>
    </row>
    <row r="20" spans="1:19">
      <c r="A20" s="408" t="s">
        <v>2785</v>
      </c>
      <c r="B20" s="324" t="s">
        <v>3049</v>
      </c>
      <c r="D20" s="18" t="s">
        <v>1224</v>
      </c>
      <c r="E20" s="324" t="s">
        <v>3049</v>
      </c>
      <c r="G20" s="109" t="s">
        <v>1441</v>
      </c>
      <c r="H20" s="324" t="s">
        <v>3049</v>
      </c>
      <c r="J20" s="109" t="s">
        <v>2785</v>
      </c>
      <c r="K20" s="324" t="s">
        <v>3049</v>
      </c>
      <c r="L20" s="324"/>
      <c r="M20" s="18" t="s">
        <v>1219</v>
      </c>
      <c r="N20" s="324" t="s">
        <v>3049</v>
      </c>
      <c r="Q20" s="324" t="s">
        <v>3049</v>
      </c>
    </row>
    <row r="21" spans="1:19">
      <c r="A21" s="409" t="s">
        <v>73</v>
      </c>
      <c r="B21" s="324" t="s">
        <v>3051</v>
      </c>
      <c r="D21" s="109" t="s">
        <v>1442</v>
      </c>
      <c r="E21" s="324" t="s">
        <v>3051</v>
      </c>
      <c r="G21" s="110" t="s">
        <v>749</v>
      </c>
      <c r="H21" s="324" t="s">
        <v>3051</v>
      </c>
      <c r="J21" s="110" t="s">
        <v>73</v>
      </c>
      <c r="K21" s="324" t="s">
        <v>3051</v>
      </c>
      <c r="L21" s="324"/>
      <c r="M21" s="109" t="s">
        <v>2785</v>
      </c>
      <c r="N21" s="324" t="s">
        <v>3051</v>
      </c>
      <c r="Q21" s="324" t="s">
        <v>3051</v>
      </c>
    </row>
    <row r="22" spans="1:19">
      <c r="A22" s="408" t="s">
        <v>3362</v>
      </c>
      <c r="B22" s="324" t="s">
        <v>3053</v>
      </c>
      <c r="D22" s="110" t="s">
        <v>749</v>
      </c>
      <c r="E22" s="324" t="s">
        <v>3053</v>
      </c>
      <c r="G22" s="18" t="s">
        <v>2948</v>
      </c>
      <c r="H22" s="324" t="s">
        <v>3053</v>
      </c>
      <c r="J22" s="18" t="s">
        <v>1219</v>
      </c>
      <c r="K22" s="324" t="s">
        <v>3053</v>
      </c>
      <c r="L22" s="324"/>
      <c r="M22" s="110" t="s">
        <v>1086</v>
      </c>
      <c r="N22" s="324" t="s">
        <v>3053</v>
      </c>
      <c r="Q22" s="324" t="s">
        <v>3053</v>
      </c>
    </row>
    <row r="23" spans="1:19">
      <c r="A23" s="409" t="s">
        <v>4097</v>
      </c>
      <c r="B23" s="324" t="s">
        <v>3054</v>
      </c>
      <c r="D23" s="18" t="s">
        <v>2948</v>
      </c>
      <c r="E23" s="324" t="s">
        <v>3054</v>
      </c>
      <c r="G23" s="109" t="s">
        <v>2771</v>
      </c>
      <c r="H23" s="324" t="s">
        <v>3054</v>
      </c>
      <c r="J23" s="109" t="s">
        <v>43</v>
      </c>
      <c r="K23" s="324" t="s">
        <v>3054</v>
      </c>
      <c r="L23" s="324"/>
      <c r="M23" s="18" t="s">
        <v>2948</v>
      </c>
      <c r="N23" s="324" t="s">
        <v>3054</v>
      </c>
      <c r="Q23" s="324" t="s">
        <v>3054</v>
      </c>
    </row>
    <row r="24" spans="1:19">
      <c r="A24" s="407" t="s">
        <v>78</v>
      </c>
      <c r="B24" s="324" t="s">
        <v>3423</v>
      </c>
      <c r="D24" s="109" t="s">
        <v>2835</v>
      </c>
      <c r="E24" s="324" t="s">
        <v>3423</v>
      </c>
      <c r="G24" s="110" t="s">
        <v>3209</v>
      </c>
      <c r="H24" s="324" t="s">
        <v>3423</v>
      </c>
      <c r="J24" s="110" t="s">
        <v>73</v>
      </c>
      <c r="K24" s="324" t="s">
        <v>3423</v>
      </c>
      <c r="M24" s="109" t="s">
        <v>283</v>
      </c>
      <c r="N24" s="324" t="s">
        <v>3423</v>
      </c>
      <c r="Q24" s="324" t="s">
        <v>3423</v>
      </c>
    </row>
    <row r="25" spans="1:19">
      <c r="A25" s="408" t="s">
        <v>1441</v>
      </c>
      <c r="B25" s="324" t="s">
        <v>3412</v>
      </c>
      <c r="D25" s="110" t="s">
        <v>1086</v>
      </c>
      <c r="E25" s="324" t="s">
        <v>3412</v>
      </c>
      <c r="G25" s="109" t="s">
        <v>3363</v>
      </c>
      <c r="H25" s="324" t="s">
        <v>3412</v>
      </c>
      <c r="J25" s="18" t="s">
        <v>1224</v>
      </c>
      <c r="K25" s="324" t="s">
        <v>3412</v>
      </c>
      <c r="M25" s="110" t="s">
        <v>73</v>
      </c>
      <c r="N25" s="324" t="s">
        <v>3412</v>
      </c>
      <c r="Q25" s="324" t="s">
        <v>3412</v>
      </c>
    </row>
    <row r="26" spans="1:19">
      <c r="A26" s="409" t="s">
        <v>1086</v>
      </c>
      <c r="B26" s="324" t="s">
        <v>3694</v>
      </c>
      <c r="D26" s="18" t="s">
        <v>2951</v>
      </c>
      <c r="E26" s="324" t="s">
        <v>3694</v>
      </c>
      <c r="G26" s="110" t="s">
        <v>73</v>
      </c>
      <c r="H26" s="324" t="s">
        <v>3694</v>
      </c>
      <c r="J26" s="109" t="s">
        <v>1442</v>
      </c>
      <c r="K26" s="324" t="s">
        <v>3694</v>
      </c>
      <c r="M26" s="18" t="s">
        <v>2951</v>
      </c>
      <c r="N26" s="324" t="s">
        <v>3694</v>
      </c>
      <c r="Q26" s="324" t="s">
        <v>3694</v>
      </c>
    </row>
    <row r="27" spans="1:19">
      <c r="A27" s="407" t="s">
        <v>1730</v>
      </c>
      <c r="D27" s="109" t="s">
        <v>2785</v>
      </c>
      <c r="E27" s="324"/>
      <c r="G27" s="18" t="s">
        <v>2951</v>
      </c>
      <c r="H27" s="324"/>
      <c r="J27" s="110" t="s">
        <v>1086</v>
      </c>
      <c r="K27" s="324"/>
      <c r="M27" s="109" t="s">
        <v>3363</v>
      </c>
      <c r="N27" s="324"/>
      <c r="Q27" s="324"/>
      <c r="S27" s="324" t="s">
        <v>3047</v>
      </c>
    </row>
    <row r="28" spans="1:19">
      <c r="A28" s="408" t="s">
        <v>2835</v>
      </c>
      <c r="D28" s="110" t="s">
        <v>73</v>
      </c>
      <c r="E28" s="324"/>
      <c r="G28" s="109" t="s">
        <v>1440</v>
      </c>
      <c r="H28" s="324"/>
      <c r="J28" s="18" t="s">
        <v>1484</v>
      </c>
      <c r="K28" s="324"/>
      <c r="M28" s="110" t="s">
        <v>73</v>
      </c>
      <c r="N28" s="324"/>
      <c r="Q28" s="324"/>
      <c r="S28" s="324" t="s">
        <v>3046</v>
      </c>
    </row>
    <row r="29" spans="1:19">
      <c r="A29" s="409" t="s">
        <v>1086</v>
      </c>
      <c r="D29" s="18" t="s">
        <v>1484</v>
      </c>
      <c r="E29" s="324"/>
      <c r="G29" s="110" t="s">
        <v>73</v>
      </c>
      <c r="H29" s="324"/>
      <c r="K29" s="324"/>
      <c r="M29" s="18" t="s">
        <v>1484</v>
      </c>
      <c r="N29" s="324"/>
      <c r="Q29" s="324"/>
      <c r="S29" s="324" t="s">
        <v>3045</v>
      </c>
    </row>
    <row r="30" spans="1:19">
      <c r="A30" s="407" t="s">
        <v>1484</v>
      </c>
      <c r="G30" s="18" t="s">
        <v>1484</v>
      </c>
      <c r="S30" s="324" t="s">
        <v>3044</v>
      </c>
    </row>
    <row r="31" spans="1:19">
      <c r="S31" s="324" t="s">
        <v>3043</v>
      </c>
    </row>
    <row r="32" spans="1:19">
      <c r="S32" s="324" t="s">
        <v>3048</v>
      </c>
    </row>
    <row r="33" spans="19:19">
      <c r="S33" s="324" t="s">
        <v>3049</v>
      </c>
    </row>
    <row r="34" spans="19:19">
      <c r="S34" s="324" t="s">
        <v>3050</v>
      </c>
    </row>
    <row r="35" spans="19:19">
      <c r="S35" s="324" t="s">
        <v>3051</v>
      </c>
    </row>
    <row r="36" spans="19:19">
      <c r="S36" s="324" t="s">
        <v>3052</v>
      </c>
    </row>
    <row r="37" spans="19:19">
      <c r="S37" s="324" t="s">
        <v>3053</v>
      </c>
    </row>
    <row r="38" spans="19:19">
      <c r="S38" s="324" t="s">
        <v>3054</v>
      </c>
    </row>
    <row r="39" spans="19:19">
      <c r="S39" s="324" t="s">
        <v>3423</v>
      </c>
    </row>
    <row r="40" spans="19:19">
      <c r="S40" s="324" t="s">
        <v>3412</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C22" sqref="C22"/>
    </sheetView>
  </sheetViews>
  <sheetFormatPr baseColWidth="10" defaultRowHeight="12.75"/>
  <sheetData>
    <row r="1" spans="1:2">
      <c r="A1" t="s">
        <v>1632</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45247</v>
      </c>
    </row>
    <row r="17" spans="1:2">
      <c r="A17" s="55"/>
      <c r="B17" s="55">
        <v>45250</v>
      </c>
    </row>
    <row r="18" spans="1:2">
      <c r="A18" s="55"/>
      <c r="B18" s="55">
        <v>45268</v>
      </c>
    </row>
    <row r="19" spans="1: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activeCell="C5" sqref="C5"/>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38" t="str">
        <f ca="1">"AUDIENCIAS ASIGNADAS  AL DIA: " &amp; TEXT(TODAY(),"DD/MM/YYYY")</f>
        <v>AUDIENCIAS ASIGNADAS  AL DIA: 16/11/2023</v>
      </c>
      <c r="C1" s="438"/>
      <c r="D1" s="438"/>
      <c r="E1" s="438"/>
      <c r="F1" s="438"/>
      <c r="G1" s="438"/>
      <c r="H1" s="438"/>
      <c r="I1" s="438"/>
    </row>
    <row r="3" spans="2:9" ht="28.5" customHeight="1">
      <c r="B3" s="439" t="s">
        <v>2041</v>
      </c>
      <c r="C3" s="440"/>
      <c r="E3" s="439" t="s">
        <v>2351</v>
      </c>
      <c r="F3" s="440"/>
      <c r="H3" s="439" t="s">
        <v>2378</v>
      </c>
      <c r="I3" s="440"/>
    </row>
    <row r="4" spans="2:9" ht="20.100000000000001" customHeight="1">
      <c r="B4" s="12" t="s">
        <v>382</v>
      </c>
      <c r="C4" s="12" t="s">
        <v>362</v>
      </c>
      <c r="E4" s="12" t="s">
        <v>382</v>
      </c>
      <c r="F4" s="12" t="s">
        <v>362</v>
      </c>
      <c r="H4" s="12" t="s">
        <v>382</v>
      </c>
      <c r="I4" s="12" t="s">
        <v>362</v>
      </c>
    </row>
    <row r="5" spans="2:9" ht="24.95" customHeight="1">
      <c r="B5" s="11" t="s">
        <v>35</v>
      </c>
      <c r="C5" s="11">
        <f>COUNTIF(EXPEDIENTES!$J:$J,$B5)</f>
        <v>145</v>
      </c>
      <c r="D5" s="10"/>
      <c r="E5" s="11" t="s">
        <v>1221</v>
      </c>
      <c r="F5" s="11">
        <f>COUNTIF(EXPEDIENTES!$J:$J,$E5)</f>
        <v>29</v>
      </c>
      <c r="H5" s="11" t="s">
        <v>1687</v>
      </c>
      <c r="I5" s="11">
        <f>COUNTIF(EXPEDIENTES!$J:$J,$H5)</f>
        <v>4</v>
      </c>
    </row>
    <row r="6" spans="2:9" ht="24.95" customHeight="1">
      <c r="B6" s="11" t="s">
        <v>31</v>
      </c>
      <c r="C6" s="11">
        <f>COUNTIF(EXPEDIENTES!$J:$J,$B6)</f>
        <v>158</v>
      </c>
      <c r="E6" s="11" t="s">
        <v>1222</v>
      </c>
      <c r="F6" s="11">
        <f>COUNTIF(EXPEDIENTES!$J:$J,$E6)</f>
        <v>27</v>
      </c>
      <c r="H6" s="198" t="s">
        <v>370</v>
      </c>
      <c r="I6" s="60">
        <f>SUM(I5)</f>
        <v>4</v>
      </c>
    </row>
    <row r="7" spans="2:9" ht="24.95" customHeight="1">
      <c r="B7" s="11" t="s">
        <v>33</v>
      </c>
      <c r="C7" s="11">
        <f>COUNTIF(EXPEDIENTES!$J:$J,$B7)</f>
        <v>148</v>
      </c>
      <c r="E7" s="11" t="s">
        <v>1223</v>
      </c>
      <c r="F7" s="11">
        <f>COUNTIF(EXPEDIENTES!$J:$J,$E7)</f>
        <v>19</v>
      </c>
    </row>
    <row r="8" spans="2:9" ht="24.95" customHeight="1">
      <c r="B8" s="11" t="s">
        <v>78</v>
      </c>
      <c r="C8" s="11">
        <f>COUNTIF(EXPEDIENTES!$J:$J,$B8)</f>
        <v>149</v>
      </c>
      <c r="E8" s="11" t="s">
        <v>1623</v>
      </c>
      <c r="F8" s="11">
        <f>COUNTIF(EXPEDIENTES!$J:$J,$E8)</f>
        <v>19</v>
      </c>
    </row>
    <row r="9" spans="2:9" ht="24.95" customHeight="1">
      <c r="B9" s="11" t="s">
        <v>1219</v>
      </c>
      <c r="C9" s="11">
        <f>COUNTIF(EXPEDIENTES!$J:$J,$B9)</f>
        <v>70</v>
      </c>
      <c r="E9" s="11" t="s">
        <v>1491</v>
      </c>
      <c r="F9" s="11">
        <f>COUNTIF(EXPEDIENTES!$J:$J,$E9)</f>
        <v>11</v>
      </c>
    </row>
    <row r="10" spans="2:9" ht="24.95" customHeight="1">
      <c r="B10" s="11" t="s">
        <v>1224</v>
      </c>
      <c r="C10" s="11">
        <f>COUNTIF(EXPEDIENTES!$J:$J,$B10)</f>
        <v>36</v>
      </c>
      <c r="E10" s="11" t="s">
        <v>1730</v>
      </c>
      <c r="F10" s="11">
        <f>COUNTIF(EXPEDIENTES!$J:$J,$E10)</f>
        <v>31</v>
      </c>
      <c r="H10" s="116"/>
      <c r="I10" s="116"/>
    </row>
    <row r="11" spans="2:9" ht="24.95" customHeight="1">
      <c r="B11" s="11" t="s">
        <v>1220</v>
      </c>
      <c r="C11" s="11">
        <f>COUNTIF(EXPEDIENTES!$J:$J,$B11)</f>
        <v>89</v>
      </c>
      <c r="E11" s="347" t="s">
        <v>2948</v>
      </c>
      <c r="F11" s="11">
        <f>COUNTIF(EXPEDIENTES!$J:$J,$E11)</f>
        <v>30</v>
      </c>
      <c r="H11" s="116"/>
      <c r="I11" s="116"/>
    </row>
    <row r="12" spans="2:9" s="343" customFormat="1" ht="24.95" customHeight="1">
      <c r="B12" s="342" t="s">
        <v>370</v>
      </c>
      <c r="C12" s="60">
        <f>SUM(C5:C11)</f>
        <v>795</v>
      </c>
      <c r="E12" s="348" t="s">
        <v>2951</v>
      </c>
      <c r="F12" s="349">
        <f>COUNTIF(EXPEDIENTES!$J:$J,$E12)</f>
        <v>23</v>
      </c>
      <c r="H12" s="344"/>
      <c r="I12" s="344"/>
    </row>
    <row r="13" spans="2:9" s="343" customFormat="1" ht="24.95" customHeight="1">
      <c r="E13" s="198" t="s">
        <v>370</v>
      </c>
      <c r="F13" s="60">
        <f>SUM(F5:F12)</f>
        <v>189</v>
      </c>
      <c r="H13" s="344"/>
      <c r="I13" s="344"/>
    </row>
    <row r="14" spans="2:9" s="343" customFormat="1" ht="24.95" customHeight="1">
      <c r="E14" s="346"/>
      <c r="F14" s="346"/>
      <c r="H14" s="344"/>
      <c r="I14" s="344"/>
    </row>
    <row r="15" spans="2:9" s="343" customFormat="1" ht="24.95" customHeight="1">
      <c r="B15" s="344"/>
      <c r="C15" s="344"/>
      <c r="E15" s="346"/>
      <c r="F15" s="346"/>
      <c r="H15" s="344"/>
      <c r="I15" s="344"/>
    </row>
    <row r="16" spans="2:9" s="343" customFormat="1" ht="24.95" customHeight="1">
      <c r="B16" s="344"/>
      <c r="C16" s="344"/>
    </row>
    <row r="17" spans="2:9" s="343" customFormat="1" ht="24.95" customHeight="1">
      <c r="B17" s="344"/>
      <c r="C17" s="344"/>
      <c r="E17" s="346"/>
      <c r="F17" s="346"/>
      <c r="H17" s="344"/>
      <c r="I17" s="344"/>
    </row>
    <row r="18" spans="2:9" s="343" customFormat="1" ht="24.95" customHeight="1">
      <c r="B18" s="344"/>
      <c r="C18" s="344"/>
      <c r="E18" s="346"/>
      <c r="F18" s="346"/>
      <c r="H18" s="344"/>
      <c r="I18" s="344"/>
    </row>
    <row r="19" spans="2:9" s="343" customFormat="1" ht="24.95" customHeight="1">
      <c r="B19" s="346"/>
      <c r="C19" s="346"/>
      <c r="E19" s="346"/>
      <c r="F19" s="346"/>
      <c r="H19" s="344"/>
      <c r="I19" s="344"/>
    </row>
    <row r="20" spans="2:9" s="343" customFormat="1" ht="24.95" customHeight="1">
      <c r="B20" s="344"/>
      <c r="C20" s="344"/>
      <c r="E20" s="346"/>
      <c r="F20" s="346"/>
      <c r="H20" s="344"/>
      <c r="I20" s="344"/>
    </row>
    <row r="21" spans="2:9" s="343" customFormat="1" ht="24.95" customHeight="1">
      <c r="B21" s="346"/>
      <c r="C21" s="346"/>
      <c r="E21" s="346"/>
      <c r="F21" s="346"/>
      <c r="H21" s="344"/>
      <c r="I21" s="344"/>
    </row>
    <row r="22" spans="2:9" ht="24.95" customHeight="1">
      <c r="B22" s="344"/>
      <c r="C22" s="345"/>
      <c r="E22" s="115"/>
      <c r="F22" s="115"/>
      <c r="H22" s="116"/>
      <c r="I22" s="116"/>
    </row>
    <row r="23" spans="2:9" s="343" customFormat="1" ht="24.95" customHeight="1">
      <c r="B23" s="344"/>
      <c r="C23" s="345"/>
      <c r="E23" s="346"/>
      <c r="F23" s="346"/>
      <c r="H23" s="344"/>
      <c r="I23" s="344"/>
    </row>
    <row r="24" spans="2:9" s="343" customFormat="1" ht="24.95" customHeight="1">
      <c r="B24" s="344"/>
      <c r="C24" s="345"/>
      <c r="E24" s="346"/>
      <c r="F24" s="346"/>
      <c r="H24" s="344"/>
      <c r="I24" s="344"/>
    </row>
    <row r="25" spans="2:9" ht="24.95" customHeight="1">
      <c r="B25" s="116"/>
      <c r="C25" s="116"/>
      <c r="E25" s="115"/>
      <c r="F25" s="115"/>
      <c r="H25" s="116"/>
      <c r="I25" s="116"/>
    </row>
    <row r="26" spans="2:9" ht="24.95" customHeight="1">
      <c r="B26" s="438" t="str">
        <f ca="1">"AUDIENCIAS QUE RESTAN RESOLVER -  AL DIA: " &amp; TEXT(TODAY(),"DD/MM/YYYY")</f>
        <v>AUDIENCIAS QUE RESTAN RESOLVER -  AL DIA: 16/11/2023</v>
      </c>
      <c r="C26" s="438"/>
      <c r="D26" s="438"/>
      <c r="E26" s="438"/>
      <c r="F26" s="438"/>
      <c r="G26" s="438"/>
      <c r="H26" s="438"/>
      <c r="I26" s="438"/>
    </row>
    <row r="27" spans="2:9" ht="24.95" customHeight="1"/>
    <row r="28" spans="2:9" ht="24.95" customHeight="1">
      <c r="B28" s="439" t="s">
        <v>2042</v>
      </c>
      <c r="C28" s="440"/>
      <c r="E28" s="439" t="s">
        <v>2352</v>
      </c>
      <c r="F28" s="440"/>
      <c r="H28" s="439" t="s">
        <v>2043</v>
      </c>
      <c r="I28" s="440"/>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10</v>
      </c>
      <c r="E30" s="11" t="s">
        <v>1221</v>
      </c>
      <c r="F30" s="11">
        <f ca="1">COUNTIFS(EXPEDIENTES!J:J,$E30,EXPEDIENTES!O:O,"NO")</f>
        <v>0</v>
      </c>
      <c r="H30" s="11" t="s">
        <v>1687</v>
      </c>
      <c r="I30" s="11">
        <f ca="1">COUNTIFS(EXPEDIENTES!J:J,$H30,EXPEDIENTES!O:O,"NO")</f>
        <v>0</v>
      </c>
    </row>
    <row r="31" spans="2:9" ht="24.95" customHeight="1">
      <c r="B31" s="11" t="s">
        <v>31</v>
      </c>
      <c r="C31" s="11">
        <f ca="1">COUNTIFS(EXPEDIENTES!J:J,$B31,EXPEDIENTES!O:O,"NO")</f>
        <v>10</v>
      </c>
      <c r="E31" s="11" t="s">
        <v>1222</v>
      </c>
      <c r="F31" s="11">
        <f ca="1">COUNTIFS(EXPEDIENTES!J:J,$E31,EXPEDIENTES!O:O,"NO")</f>
        <v>0</v>
      </c>
      <c r="H31" s="198" t="s">
        <v>370</v>
      </c>
      <c r="I31" s="60">
        <f ca="1">SUM(I30)</f>
        <v>0</v>
      </c>
    </row>
    <row r="32" spans="2:9" ht="20.100000000000001" customHeight="1">
      <c r="B32" s="11" t="s">
        <v>33</v>
      </c>
      <c r="C32" s="11">
        <f ca="1">COUNTIFS(EXPEDIENTES!J:J,$B32,EXPEDIENTES!O:O,"NO")</f>
        <v>10</v>
      </c>
      <c r="E32" s="11" t="s">
        <v>1223</v>
      </c>
      <c r="F32" s="11">
        <f ca="1">COUNTIFS(EXPEDIENTES!J:J,$E32,EXPEDIENTES!O:O,"NO")</f>
        <v>0</v>
      </c>
    </row>
    <row r="33" spans="2:6" ht="20.100000000000001" customHeight="1">
      <c r="B33" s="11" t="s">
        <v>78</v>
      </c>
      <c r="C33" s="11">
        <f ca="1">COUNTIFS(EXPEDIENTES!J:J,$B33,EXPEDIENTES!O:O,"NO")</f>
        <v>8</v>
      </c>
      <c r="E33" s="11" t="s">
        <v>1623</v>
      </c>
      <c r="F33" s="11">
        <f ca="1">COUNTIFS(EXPEDIENTES!J:J,$E33,EXPEDIENTES!O:O,"NO")</f>
        <v>0</v>
      </c>
    </row>
    <row r="34" spans="2:6" ht="20.100000000000001" customHeight="1">
      <c r="B34" s="11" t="s">
        <v>1219</v>
      </c>
      <c r="C34" s="11">
        <f ca="1">COUNTIFS(EXPEDIENTES!J:J,$B34,EXPEDIENTES!O:O,"NO")</f>
        <v>7</v>
      </c>
      <c r="E34" s="11" t="s">
        <v>1491</v>
      </c>
      <c r="F34" s="11">
        <f ca="1">COUNTIFS(EXPEDIENTES!J:J,$E34,EXPEDIENTES!O:O,"NO")</f>
        <v>0</v>
      </c>
    </row>
    <row r="35" spans="2:6" ht="20.100000000000001" customHeight="1">
      <c r="B35" s="11" t="s">
        <v>1224</v>
      </c>
      <c r="C35" s="11">
        <f ca="1">COUNTIFS(EXPEDIENTES!J:J,$B35,EXPEDIENTES!O:O,"NO")</f>
        <v>5</v>
      </c>
      <c r="E35" s="11" t="s">
        <v>1730</v>
      </c>
      <c r="F35" s="11">
        <f ca="1">COUNTIFS(EXPEDIENTES!J:J,$E35,EXPEDIENTES!O:O,"NO")</f>
        <v>5</v>
      </c>
    </row>
    <row r="36" spans="2:6" ht="20.100000000000001" customHeight="1">
      <c r="B36" s="11" t="s">
        <v>1220</v>
      </c>
      <c r="C36" s="11">
        <f ca="1">COUNTIFS(EXPEDIENTES!J:J,$B36,EXPEDIENTES!O:O,"NO")</f>
        <v>10</v>
      </c>
      <c r="E36" s="347" t="s">
        <v>2948</v>
      </c>
      <c r="F36" s="11">
        <f ca="1">COUNTIFS(EXPEDIENTES!J:J,$E36,EXPEDIENTES!O:O,"NO")</f>
        <v>7</v>
      </c>
    </row>
    <row r="37" spans="2:6" ht="20.100000000000001" customHeight="1">
      <c r="B37" s="198" t="s">
        <v>963</v>
      </c>
      <c r="C37" s="60">
        <f ca="1">SUM(C30:C36)</f>
        <v>60</v>
      </c>
      <c r="E37" s="348" t="s">
        <v>2951</v>
      </c>
      <c r="F37" s="11">
        <f ca="1">COUNTIFS(EXPEDIENTES!J:J,$E37,EXPEDIENTES!O:O,"NO")</f>
        <v>5</v>
      </c>
    </row>
    <row r="38" spans="2:6" s="343" customFormat="1" ht="20.100000000000001" customHeight="1">
      <c r="E38" s="198" t="s">
        <v>370</v>
      </c>
      <c r="F38" s="60">
        <f ca="1">SUM(F30:F37)</f>
        <v>17</v>
      </c>
    </row>
    <row r="39" spans="2:6" s="343" customFormat="1" ht="20.100000000000001" customHeight="1"/>
    <row r="40" spans="2:6" s="343" customFormat="1" ht="20.100000000000001" customHeight="1">
      <c r="B40" s="344"/>
      <c r="C40" s="345"/>
    </row>
    <row r="41" spans="2:6" s="343" customFormat="1" ht="20.100000000000001" customHeight="1">
      <c r="B41" s="344"/>
      <c r="C41" s="345"/>
    </row>
    <row r="42" spans="2:6" s="343" customFormat="1" ht="20.100000000000001" customHeight="1">
      <c r="B42" s="344"/>
      <c r="C42" s="345"/>
    </row>
    <row r="43" spans="2:6" s="343" customFormat="1" ht="20.100000000000001" customHeight="1">
      <c r="B43" s="344"/>
      <c r="C43" s="345"/>
    </row>
    <row r="44" spans="2:6" s="343" customFormat="1" ht="20.100000000000001" customHeight="1">
      <c r="B44" s="344"/>
      <c r="C44" s="345"/>
    </row>
    <row r="45" spans="2:6" s="343" customFormat="1" ht="20.100000000000001" customHeight="1">
      <c r="B45" s="344"/>
      <c r="C45" s="345"/>
    </row>
    <row r="46" spans="2:6" s="343" customFormat="1" ht="20.100000000000001" customHeight="1">
      <c r="B46" s="344"/>
      <c r="C46" s="345"/>
    </row>
    <row r="47" spans="2:6" s="343" customFormat="1" ht="20.100000000000001" customHeight="1">
      <c r="B47" s="344"/>
      <c r="C47" s="345"/>
    </row>
    <row r="48" spans="2:6" s="343" customFormat="1" ht="20.100000000000001" customHeight="1">
      <c r="B48" s="344"/>
      <c r="C48" s="345"/>
    </row>
    <row r="49" spans="2:9" s="343" customFormat="1" ht="20.100000000000001" customHeight="1">
      <c r="B49" s="344"/>
      <c r="C49" s="345"/>
    </row>
    <row r="50" spans="2:9" s="343" customFormat="1" ht="20.100000000000001" customHeight="1">
      <c r="B50" s="344"/>
      <c r="C50" s="345"/>
    </row>
    <row r="51" spans="2:9" s="343" customFormat="1" ht="20.100000000000001" customHeight="1">
      <c r="B51" s="344"/>
      <c r="C51" s="345"/>
    </row>
    <row r="52" spans="2:9" s="343" customFormat="1" ht="20.100000000000001" customHeight="1">
      <c r="B52" s="344"/>
      <c r="C52" s="345"/>
    </row>
    <row r="53" spans="2:9" ht="20.100000000000001" customHeight="1">
      <c r="B53" s="438" t="str">
        <f ca="1">"AUDIENCIAS RESUELTAS AL DIA: " &amp; TEXT(TODAY(),"DD/MM/YYYY")</f>
        <v>AUDIENCIAS RESUELTAS AL DIA: 16/11/2023</v>
      </c>
      <c r="C53" s="438"/>
      <c r="D53" s="438"/>
      <c r="E53" s="438"/>
      <c r="F53" s="438"/>
      <c r="G53" s="438"/>
      <c r="H53" s="438"/>
      <c r="I53" s="438"/>
    </row>
    <row r="54" spans="2:9" ht="20.100000000000001" customHeight="1"/>
    <row r="55" spans="2:9" ht="28.35" customHeight="1">
      <c r="B55" s="439" t="s">
        <v>2044</v>
      </c>
      <c r="C55" s="440"/>
      <c r="E55" s="439" t="s">
        <v>2045</v>
      </c>
      <c r="F55" s="440"/>
      <c r="H55" s="439" t="s">
        <v>2046</v>
      </c>
      <c r="I55" s="440"/>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135</v>
      </c>
      <c r="E57" s="11" t="s">
        <v>1221</v>
      </c>
      <c r="F57" s="11">
        <f ca="1">COUNTIFS(EXPEDIENTES!J:J,$E57,EXPEDIENTES!O:O,"SI")</f>
        <v>29</v>
      </c>
      <c r="H57" s="11" t="s">
        <v>1687</v>
      </c>
      <c r="I57" s="11">
        <f ca="1">COUNTIFS(EXPEDIENTES!J:J,$H57,EXPEDIENTES!O:O,"SI")</f>
        <v>4</v>
      </c>
    </row>
    <row r="58" spans="2:9" ht="24.95" customHeight="1">
      <c r="B58" s="11" t="s">
        <v>31</v>
      </c>
      <c r="C58" s="11">
        <f ca="1">COUNTIFS(EXPEDIENTES!J:J,$B58,EXPEDIENTES!O:O,"SI")</f>
        <v>148</v>
      </c>
      <c r="E58" s="11" t="s">
        <v>1222</v>
      </c>
      <c r="F58" s="11">
        <f ca="1">COUNTIFS(EXPEDIENTES!J:J,$E58,EXPEDIENTES!O:O,"SI")</f>
        <v>27</v>
      </c>
      <c r="H58" s="198" t="s">
        <v>370</v>
      </c>
      <c r="I58" s="60">
        <f ca="1">SUM(I57)</f>
        <v>4</v>
      </c>
    </row>
    <row r="59" spans="2:9" ht="24.95" customHeight="1">
      <c r="B59" s="11" t="s">
        <v>33</v>
      </c>
      <c r="C59" s="11">
        <f ca="1">COUNTIFS(EXPEDIENTES!J:J,$B59,EXPEDIENTES!O:O,"SI")</f>
        <v>138</v>
      </c>
      <c r="E59" s="11" t="s">
        <v>1223</v>
      </c>
      <c r="F59" s="11">
        <f ca="1">COUNTIFS(EXPEDIENTES!J:J,$E59,EXPEDIENTES!O:O,"SI")</f>
        <v>19</v>
      </c>
    </row>
    <row r="60" spans="2:9" ht="24.95" customHeight="1">
      <c r="B60" s="11" t="s">
        <v>78</v>
      </c>
      <c r="C60" s="11">
        <f ca="1">COUNTIFS(EXPEDIENTES!J:J,$B60,EXPEDIENTES!O:O,"SI")</f>
        <v>141</v>
      </c>
      <c r="E60" s="11" t="s">
        <v>1623</v>
      </c>
      <c r="F60" s="11">
        <f ca="1">COUNTIFS(EXPEDIENTES!J:J,$E60,EXPEDIENTES!O:O,"SI")</f>
        <v>19</v>
      </c>
    </row>
    <row r="61" spans="2:9" ht="24.95" customHeight="1">
      <c r="B61" s="11" t="s">
        <v>1219</v>
      </c>
      <c r="C61" s="11">
        <f ca="1">COUNTIFS(EXPEDIENTES!J:J,$B61,EXPEDIENTES!O:O,"SI")</f>
        <v>62</v>
      </c>
      <c r="E61" s="11" t="s">
        <v>1491</v>
      </c>
      <c r="F61" s="11">
        <f ca="1">COUNTIFS(EXPEDIENTES!J:J,$E61,EXPEDIENTES!O:O,"SI")</f>
        <v>11</v>
      </c>
    </row>
    <row r="62" spans="2:9" ht="24.95" customHeight="1">
      <c r="B62" s="11" t="s">
        <v>1224</v>
      </c>
      <c r="C62" s="11">
        <f ca="1">COUNTIFS(EXPEDIENTES!J:J,$B62,EXPEDIENTES!O:O,"SI")</f>
        <v>31</v>
      </c>
      <c r="E62" s="11" t="s">
        <v>1730</v>
      </c>
      <c r="F62" s="11">
        <f ca="1">COUNTIFS(EXPEDIENTES!J:J,$E62,EXPEDIENTES!O:O,"SI")</f>
        <v>26</v>
      </c>
      <c r="G62" s="115"/>
      <c r="H62" s="115"/>
    </row>
    <row r="63" spans="2:9" ht="24.95" customHeight="1">
      <c r="B63" s="11" t="s">
        <v>1220</v>
      </c>
      <c r="C63" s="11">
        <f ca="1">COUNTIFS(EXPEDIENTES!J:J,$B63,EXPEDIENTES!O:O,"SI")</f>
        <v>79</v>
      </c>
      <c r="E63" s="347" t="s">
        <v>2948</v>
      </c>
      <c r="F63" s="11">
        <f ca="1">COUNTIFS(EXPEDIENTES!J:J,$E63,EXPEDIENTES!O:O,"SI")</f>
        <v>22</v>
      </c>
      <c r="G63" s="115"/>
      <c r="H63" s="115"/>
    </row>
    <row r="64" spans="2:9" ht="24.95" customHeight="1">
      <c r="B64" s="198" t="s">
        <v>2032</v>
      </c>
      <c r="C64" s="29">
        <f ca="1">SUM(C57:C63)</f>
        <v>734</v>
      </c>
      <c r="E64" s="348" t="s">
        <v>2951</v>
      </c>
      <c r="F64" s="11">
        <f ca="1">COUNTIFS(EXPEDIENTES!J:J,$E64,EXPEDIENTES!O:O,"SI")</f>
        <v>18</v>
      </c>
      <c r="G64" s="115"/>
      <c r="H64" s="115"/>
    </row>
    <row r="65" spans="2:6" ht="24.95" customHeight="1">
      <c r="E65" s="198" t="s">
        <v>370</v>
      </c>
      <c r="F65" s="60">
        <f ca="1">SUM(F57:F64)</f>
        <v>171</v>
      </c>
    </row>
    <row r="66" spans="2:6" ht="24.95" customHeight="1"/>
    <row r="67" spans="2:6" ht="24.95" customHeight="1"/>
    <row r="68" spans="2:6" ht="24.95" customHeight="1">
      <c r="B68" s="441" t="s">
        <v>457</v>
      </c>
      <c r="C68" s="441"/>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workbookViewId="0"/>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8"/>
      <c r="E2" s="249"/>
      <c r="F2" s="248"/>
    </row>
    <row r="3" spans="1:6" ht="18">
      <c r="C3" s="63" t="s">
        <v>2683</v>
      </c>
    </row>
    <row r="4" spans="1:6" ht="27.75" customHeight="1">
      <c r="A4" s="63"/>
      <c r="B4" s="63"/>
      <c r="C4" s="63" t="s">
        <v>3159</v>
      </c>
      <c r="D4" s="248">
        <v>45229</v>
      </c>
      <c r="E4" s="274" t="s">
        <v>2584</v>
      </c>
      <c r="F4" s="248">
        <v>45233</v>
      </c>
    </row>
    <row r="5" spans="1:6" ht="27.75" customHeight="1">
      <c r="A5" s="250" t="s">
        <v>929</v>
      </c>
      <c r="B5" s="251" t="s">
        <v>1297</v>
      </c>
      <c r="C5" s="251" t="s">
        <v>930</v>
      </c>
      <c r="D5" s="63"/>
      <c r="E5" s="63"/>
    </row>
    <row r="6" spans="1:6" ht="31.5" customHeight="1">
      <c r="A6" s="252">
        <f>COUNTIFS(EXPEDIENTES!R:R,"=Prisión Preventiva",EXPEDIENTES!H:H,"&gt;=30/10/2023",EXPEDIENTES!H:H,"&lt;=03/11/2023") +COUNTIFS(EXPEDIENTES!R:R,"Prision domiciliaria",EXPEDIENTES!H:H,"&gt;=30/10/2023",EXPEDIENTES!H:H,"&lt;=03/11/2023")</f>
        <v>11</v>
      </c>
      <c r="B6" s="375">
        <f>A6/A11</f>
        <v>0.24444444444444444</v>
      </c>
      <c r="C6" s="253" t="s">
        <v>577</v>
      </c>
      <c r="D6" s="61"/>
    </row>
    <row r="7" spans="1:6" ht="30.75" customHeight="1">
      <c r="A7" s="189">
        <f>COUNTIFS(EXPEDIENTES!R:R,"Juicio Abreviado",EXPEDIENTES!H:H,"&gt;=30/10/2023",EXPEDIENTES!H:H,"&lt;=03/11/2023")</f>
        <v>22</v>
      </c>
      <c r="B7" s="375">
        <f>A7/A11</f>
        <v>0.48888888888888887</v>
      </c>
      <c r="C7" s="253" t="s">
        <v>988</v>
      </c>
      <c r="D7" s="61"/>
    </row>
    <row r="8" spans="1:6" ht="30.75" customHeight="1">
      <c r="A8" s="189">
        <f>COUNTIFS(EXPEDIENTES!R:R,"Suspendida",EXPEDIENTES!H:H,"&gt;=30/10/2023",EXPEDIENTES!H:H,"&lt;=03/11/2023")</f>
        <v>1</v>
      </c>
      <c r="B8" s="375">
        <f>A8/A11</f>
        <v>2.2222222222222223E-2</v>
      </c>
      <c r="C8" s="253" t="s">
        <v>911</v>
      </c>
      <c r="D8" s="61"/>
    </row>
    <row r="9" spans="1:6" ht="30.75" customHeight="1">
      <c r="A9" s="189">
        <f>COUNTIFS(EXPEDIENTES!R:R,"Libertad",EXPEDIENTES!H:H,"&gt;=30/10/2023",EXPEDIENTES!H:H,"&lt;=03/11/2023")</f>
        <v>10</v>
      </c>
      <c r="B9" s="375">
        <f>A9/A11</f>
        <v>0.22222222222222221</v>
      </c>
      <c r="C9" s="253" t="s">
        <v>902</v>
      </c>
      <c r="D9" s="61"/>
    </row>
    <row r="10" spans="1:6" ht="32.25" customHeight="1">
      <c r="A10" s="189">
        <f>COUNTIFS(EXPEDIENTES!R:R,"Sobreseimiento",EXPEDIENTES!H:H,"&gt;=30/10/2023",EXPEDIENTES!H:H,"&lt;=03/11/2023")</f>
        <v>1</v>
      </c>
      <c r="B10" s="375">
        <f>A10/A11</f>
        <v>2.2222222222222223E-2</v>
      </c>
      <c r="C10" s="253" t="s">
        <v>1900</v>
      </c>
      <c r="D10" s="61"/>
    </row>
    <row r="11" spans="1:6" ht="32.25" customHeight="1">
      <c r="A11" s="254">
        <f>SUM(A6:A10)</f>
        <v>45</v>
      </c>
      <c r="B11" s="255">
        <v>1</v>
      </c>
      <c r="C11" s="256" t="s">
        <v>370</v>
      </c>
      <c r="D11" s="61"/>
    </row>
    <row r="12" spans="1:6" ht="51.75" customHeight="1">
      <c r="D12" s="61"/>
    </row>
    <row r="13" spans="1:6" ht="26.25" customHeight="1">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C112"/>
  <sheetViews>
    <sheetView showGridLines="0" showWhiteSpace="0" topLeftCell="AL4" zoomScale="70" zoomScaleNormal="70" zoomScaleSheetLayoutView="80" zoomScalePageLayoutView="40" workbookViewId="0">
      <selection activeCell="AO17" sqref="AO17"/>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c r="A1" s="446"/>
      <c r="B1" s="446"/>
      <c r="C1" s="446"/>
      <c r="D1" s="446"/>
      <c r="E1" s="446"/>
      <c r="F1" s="446"/>
      <c r="G1" s="446"/>
      <c r="H1" s="446"/>
      <c r="I1" s="446"/>
      <c r="J1" s="446"/>
      <c r="K1" s="191"/>
      <c r="AQ1" s="446" t="s">
        <v>1997</v>
      </c>
      <c r="AR1" s="446"/>
      <c r="AS1" s="446"/>
      <c r="AT1" s="446"/>
      <c r="AU1" s="446"/>
      <c r="AV1" s="446"/>
      <c r="AW1" s="446"/>
      <c r="AX1" s="446"/>
      <c r="AY1" s="446"/>
      <c r="AZ1" s="446"/>
      <c r="BA1" s="446"/>
    </row>
    <row r="2" spans="1:55" ht="12.75" customHeight="1"/>
    <row r="3" spans="1:55" ht="30.75" customHeight="1">
      <c r="M3" s="191" t="s">
        <v>1320</v>
      </c>
      <c r="N3" s="191" t="s">
        <v>1321</v>
      </c>
      <c r="AK3" s="191" t="s">
        <v>382</v>
      </c>
      <c r="AL3" s="191" t="s">
        <v>31</v>
      </c>
      <c r="AQ3" s="447" t="s">
        <v>1993</v>
      </c>
      <c r="AR3" s="447"/>
      <c r="AS3" s="447"/>
      <c r="AT3" s="447"/>
      <c r="AU3" s="447"/>
      <c r="AV3" s="447"/>
      <c r="AW3" s="447"/>
      <c r="AX3" s="447"/>
      <c r="AY3" s="447"/>
      <c r="AZ3" s="447"/>
      <c r="BA3" s="447"/>
    </row>
    <row r="4" spans="1:55" ht="27" customHeight="1" thickBot="1">
      <c r="A4" s="300"/>
      <c r="B4" s="300"/>
      <c r="C4" s="300"/>
      <c r="M4" s="299" t="s">
        <v>929</v>
      </c>
      <c r="N4" s="298" t="s">
        <v>1297</v>
      </c>
      <c r="O4" s="298" t="s">
        <v>930</v>
      </c>
      <c r="Z4" s="191"/>
      <c r="AK4" s="299" t="s">
        <v>929</v>
      </c>
      <c r="AL4" s="298" t="s">
        <v>1297</v>
      </c>
      <c r="AM4" s="298" t="s">
        <v>930</v>
      </c>
    </row>
    <row r="5" spans="1:55" ht="45" customHeight="1">
      <c r="B5" s="351" t="s">
        <v>929</v>
      </c>
      <c r="C5" s="352" t="s">
        <v>3176</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c r="B6" s="353">
        <f ca="1">COUNTIFS(EXPEDIENTES!H:H,"&gt;=01/02/2023",EXPEDIENTES!H:H,"&lt;=28/02/2023",EXPEDIENTES!O:O,"=SI")</f>
        <v>4</v>
      </c>
      <c r="C6" s="354" t="s">
        <v>3177</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416</v>
      </c>
      <c r="AR6" s="204" t="s">
        <v>100</v>
      </c>
      <c r="AU6" s="194"/>
      <c r="AW6" s="193"/>
      <c r="AX6" s="193"/>
      <c r="BC6" s="61"/>
    </row>
    <row r="7" spans="1:55" ht="28.35" customHeight="1">
      <c r="B7" s="353">
        <f ca="1">COUNTIFS(EXPEDIENTES!H:H,"&gt;=01/03/2023",EXPEDIENTES!H:H,"&lt;=31/03/2023",EXPEDIENTES!O:O,"=SI")</f>
        <v>84</v>
      </c>
      <c r="C7" s="354" t="s">
        <v>3178</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311</v>
      </c>
      <c r="AR7" s="204" t="s">
        <v>151</v>
      </c>
      <c r="AU7" s="194"/>
      <c r="AW7" s="193"/>
      <c r="AX7" s="193"/>
      <c r="BC7" s="61"/>
    </row>
    <row r="8" spans="1:55" ht="28.35" customHeight="1">
      <c r="B8" s="353">
        <f ca="1">COUNTIFS(EXPEDIENTES!H:H,"&gt;=01/04/2023",EXPEDIENTES!H:H,"&lt;=30/04/2023",EXPEDIENTES!O:O,"=SI")</f>
        <v>63</v>
      </c>
      <c r="C8" s="354" t="s">
        <v>3179</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111</v>
      </c>
      <c r="AR8" s="204" t="s">
        <v>902</v>
      </c>
      <c r="AU8" s="194"/>
      <c r="AW8" s="193"/>
      <c r="AX8" s="193"/>
      <c r="BC8" s="61"/>
    </row>
    <row r="9" spans="1:55" ht="28.35" customHeight="1">
      <c r="B9" s="353">
        <f ca="1">COUNTIFS(EXPEDIENTES!H:H,"&gt;=01/05/2023",EXPEDIENTES!H:H,"&lt;=31/05/2023",EXPEDIENTES!O:O,"=SI")</f>
        <v>44</v>
      </c>
      <c r="C9" s="354" t="s">
        <v>3180</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25</v>
      </c>
      <c r="AR9" s="204" t="s">
        <v>949</v>
      </c>
      <c r="AU9" s="194"/>
      <c r="AW9" s="193"/>
      <c r="AX9" s="193"/>
      <c r="BC9" s="61"/>
    </row>
    <row r="10" spans="1:55" ht="28.35" customHeight="1">
      <c r="B10" s="353">
        <f ca="1">COUNTIFS(EXPEDIENTES!H:H,"&gt;=01/06/2023",EXPEDIENTES!H:H,"&lt;=30/06/2023",EXPEDIENTES!O:O,"=SI")</f>
        <v>87</v>
      </c>
      <c r="C10" s="354" t="s">
        <v>3181</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c r="B11" s="353">
        <f ca="1">COUNTIFS(EXPEDIENTES!H:H,"&gt;=01/07/2023",EXPEDIENTES!H:H,"&lt;=31/07/2023",EXPEDIENTES!O:O,"=SI")</f>
        <v>128</v>
      </c>
      <c r="C11" s="354" t="s">
        <v>3182</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c r="B12" s="353">
        <f ca="1">COUNTIFS(EXPEDIENTES!H:H,"&gt;=01/08/2023",EXPEDIENTES!H:H,"&lt;=31/08/2023",EXPEDIENTES!O:O,"=SI")</f>
        <v>128</v>
      </c>
      <c r="C12" s="354" t="s">
        <v>3183</v>
      </c>
      <c r="T12" s="191"/>
      <c r="AQ12" s="203">
        <f ca="1">COUNTIFS(EXPEDIENTES!R:R,$AR12,EXPEDIENTES!O:O,"SI")</f>
        <v>2</v>
      </c>
      <c r="AR12" s="430" t="s">
        <v>910</v>
      </c>
      <c r="AU12" s="194"/>
      <c r="AW12" s="193"/>
      <c r="AX12" s="193"/>
      <c r="BC12" s="61"/>
    </row>
    <row r="13" spans="1:55" ht="28.35" customHeight="1">
      <c r="B13" s="353">
        <f ca="1">COUNTIFS(EXPEDIENTES!H:H,"&gt;=01/09/2023",EXPEDIENTES!H:H,"&lt;=30/09/2023",EXPEDIENTES!O:O,"=SI")</f>
        <v>117</v>
      </c>
      <c r="C13" s="354" t="s">
        <v>3184</v>
      </c>
      <c r="T13" s="191"/>
      <c r="AQ13" s="203">
        <f ca="1">COUNTIFS(EXPEDIENTES!R:R,$AR13,EXPEDIENTES!O:O,"SI")</f>
        <v>2</v>
      </c>
      <c r="AR13" s="430" t="s">
        <v>907</v>
      </c>
      <c r="AS13" s="190"/>
      <c r="AT13" s="190"/>
      <c r="AU13" s="190"/>
      <c r="AV13" s="190"/>
      <c r="AW13" s="190"/>
      <c r="AX13" s="190"/>
      <c r="AY13" s="190"/>
      <c r="AZ13" s="191"/>
      <c r="BC13" s="61"/>
    </row>
    <row r="14" spans="1:55" ht="28.35" customHeight="1">
      <c r="B14" s="353">
        <f ca="1">COUNTIFS(EXPEDIENTES!H:H,"&gt;=01/10/2023",EXPEDIENTES!H:H,"&lt;=31/10/2023",EXPEDIENTES!O:O,"=SI")</f>
        <v>157</v>
      </c>
      <c r="C14" s="354" t="s">
        <v>3185</v>
      </c>
      <c r="AQ14" s="203">
        <f ca="1">COUNTIFS(EXPEDIENTES!R:R,$AR14,EXPEDIENTES!O:O,"SI")</f>
        <v>5</v>
      </c>
      <c r="AR14" s="431" t="s">
        <v>1900</v>
      </c>
      <c r="AS14" s="201"/>
      <c r="AT14" s="201"/>
      <c r="AU14" s="201"/>
      <c r="AV14" s="201"/>
      <c r="AW14" s="201"/>
      <c r="AX14" s="201"/>
      <c r="AY14" s="201"/>
      <c r="AZ14" s="191"/>
      <c r="BC14" s="61"/>
    </row>
    <row r="15" spans="1:55" ht="28.35" customHeight="1">
      <c r="B15" s="353">
        <f ca="1">COUNTIFS(EXPEDIENTES!H:H,"&gt;=01/11/2023",EXPEDIENTES!H:H,"&lt;=30/11/2023",EXPEDIENTES!O:O,"=SI")</f>
        <v>97</v>
      </c>
      <c r="C15" s="354" t="s">
        <v>3186</v>
      </c>
      <c r="AQ15" s="202">
        <f ca="1">SUM(AQ6:AQ11)</f>
        <v>900</v>
      </c>
      <c r="AR15" s="202" t="s">
        <v>370</v>
      </c>
      <c r="AS15" s="201"/>
      <c r="AT15" s="201"/>
      <c r="AU15" s="201"/>
      <c r="AV15" s="201"/>
      <c r="AW15" s="201"/>
      <c r="AX15" s="201"/>
      <c r="AY15" s="201"/>
      <c r="AZ15" s="191"/>
      <c r="BC15" s="61"/>
    </row>
    <row r="16" spans="1:55" ht="28.35" customHeight="1" thickBot="1">
      <c r="B16" s="353">
        <f ca="1">COUNTIFS(EXPEDIENTES!H:H,"&gt;=01/12/2023",EXPEDIENTES!H:H,"&lt;=31/12/2023",EXPEDIENTES!O:O,"=SI")</f>
        <v>0</v>
      </c>
      <c r="C16" s="355" t="s">
        <v>3187</v>
      </c>
      <c r="AW16" s="193"/>
      <c r="AX16" s="193"/>
      <c r="AZ16" s="196"/>
      <c r="BC16" s="61"/>
    </row>
    <row r="17" spans="2:55" ht="28.35" customHeight="1">
      <c r="B17" s="290">
        <f ca="1">SUM(B6:B16)</f>
        <v>909</v>
      </c>
      <c r="C17" s="288" t="s">
        <v>370</v>
      </c>
      <c r="AS17" s="197"/>
      <c r="AX17" s="193"/>
      <c r="AY17" s="193"/>
      <c r="BC17" s="61"/>
    </row>
    <row r="18" spans="2:55" ht="28.35" customHeight="1">
      <c r="AQ18" s="195"/>
      <c r="AR18" s="195"/>
      <c r="AS18" s="195"/>
      <c r="AX18" s="193"/>
      <c r="AY18" s="193"/>
      <c r="BC18" s="61"/>
    </row>
    <row r="19" spans="2:55" ht="28.35" customHeight="1">
      <c r="BC19" s="61"/>
    </row>
    <row r="20" spans="2:55" ht="28.35" customHeight="1">
      <c r="AQ20" s="192" t="str">
        <f ca="1">"Fuente: OFIJU GAR - Información al "&amp;TEXT(TODAY(),"DD/MM/YYYY")</f>
        <v>Fuente: OFIJU GAR - Información al 16/11/2023</v>
      </c>
      <c r="BC20" s="61"/>
    </row>
    <row r="21" spans="2:55" ht="28.35" customHeight="1"/>
    <row r="22" spans="2:55" ht="28.35" customHeight="1">
      <c r="AQ22" s="445" t="s">
        <v>1997</v>
      </c>
      <c r="AR22" s="445"/>
      <c r="AS22" s="445"/>
      <c r="AT22" s="445"/>
      <c r="AU22" s="445"/>
      <c r="AV22" s="445"/>
      <c r="AW22" s="445"/>
      <c r="AX22" s="445"/>
      <c r="AY22" s="445"/>
      <c r="AZ22" s="445"/>
      <c r="BA22" s="231"/>
      <c r="BB22" s="231"/>
    </row>
    <row r="24" spans="2:55" ht="26.25">
      <c r="AQ24" s="444" t="s">
        <v>2439</v>
      </c>
      <c r="AR24" s="444"/>
      <c r="AS24" s="444"/>
      <c r="AT24" s="444"/>
      <c r="AU24" s="444"/>
      <c r="AV24" s="444"/>
      <c r="AW24" s="444"/>
      <c r="AX24" s="444"/>
      <c r="AY24" s="444"/>
      <c r="AZ24" s="444"/>
      <c r="BA24" s="232"/>
      <c r="BB24" s="232"/>
    </row>
    <row r="25" spans="2:55" ht="26.25">
      <c r="AQ25" s="444" t="s">
        <v>2930</v>
      </c>
      <c r="AR25" s="444"/>
      <c r="AS25" s="444"/>
      <c r="AT25" s="444"/>
      <c r="AU25" s="444"/>
      <c r="AV25" s="444"/>
      <c r="AW25" s="444"/>
      <c r="AX25" s="444"/>
      <c r="AY25" s="444"/>
      <c r="AZ25" s="444"/>
    </row>
    <row r="26" spans="2:55" ht="24.95" customHeight="1"/>
    <row r="27" spans="2:55" ht="24.95" customHeight="1">
      <c r="M27" s="191" t="s">
        <v>1320</v>
      </c>
      <c r="N27" s="191" t="s">
        <v>1328</v>
      </c>
      <c r="AK27" s="191"/>
      <c r="AL27" s="191"/>
    </row>
    <row r="28" spans="2:55" ht="57" customHeight="1">
      <c r="M28" s="299" t="s">
        <v>929</v>
      </c>
      <c r="N28" s="298" t="s">
        <v>1297</v>
      </c>
      <c r="O28" s="298" t="s">
        <v>930</v>
      </c>
      <c r="AK28" s="299" t="s">
        <v>929</v>
      </c>
      <c r="AL28" s="298" t="s">
        <v>1297</v>
      </c>
      <c r="AM28" s="298" t="s">
        <v>930</v>
      </c>
      <c r="AQ28" s="202" t="s">
        <v>929</v>
      </c>
      <c r="AR28" s="202" t="s">
        <v>930</v>
      </c>
    </row>
    <row r="29" spans="2:55" ht="30" customHeight="1">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144</v>
      </c>
      <c r="AR29" s="318" t="s">
        <v>905</v>
      </c>
    </row>
    <row r="30" spans="2:55" ht="30" customHeight="1">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261</v>
      </c>
      <c r="AR30" s="318" t="s">
        <v>904</v>
      </c>
    </row>
    <row r="31" spans="2:55" ht="30" customHeight="1">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416</v>
      </c>
      <c r="AR32" s="202" t="s">
        <v>370</v>
      </c>
    </row>
    <row r="33" spans="1:52" ht="30" customHeight="1">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42" t="s">
        <v>2929</v>
      </c>
      <c r="AR34" s="442"/>
    </row>
    <row r="35" spans="1:52" ht="30" customHeight="1">
      <c r="M35" s="290" t="e">
        <f>SUM(M29:M34)</f>
        <v>#VALUE!</v>
      </c>
      <c r="N35" s="289" t="e">
        <f>SUM(N29:N34)</f>
        <v>#VALUE!</v>
      </c>
      <c r="O35" s="288" t="s">
        <v>370</v>
      </c>
      <c r="AK35" s="290" t="e">
        <f>SUM(AK29:AK34)</f>
        <v>#VALUE!</v>
      </c>
      <c r="AL35" s="289" t="e">
        <f>SUM(AL29:AL34)</f>
        <v>#VALUE!</v>
      </c>
      <c r="AM35" s="288" t="s">
        <v>370</v>
      </c>
      <c r="AQ35" s="442"/>
      <c r="AR35" s="442"/>
    </row>
    <row r="36" spans="1:52" ht="30" customHeight="1">
      <c r="AQ36" s="443">
        <f ca="1">(AQ32*100)/[2]EXPEDIENTES!C1</f>
        <v>67.423014586709883</v>
      </c>
      <c r="AR36" s="443"/>
    </row>
    <row r="37" spans="1:52" ht="30" customHeight="1">
      <c r="AQ37" s="316"/>
      <c r="AR37" s="315"/>
    </row>
    <row r="38" spans="1:52" ht="30" customHeight="1">
      <c r="AQ38" s="314"/>
      <c r="AR38" s="314"/>
    </row>
    <row r="39" spans="1:52" ht="30" customHeight="1">
      <c r="AK39" s="299" t="s">
        <v>929</v>
      </c>
      <c r="AL39" s="298" t="s">
        <v>1297</v>
      </c>
      <c r="AM39" s="298" t="s">
        <v>930</v>
      </c>
      <c r="AQ39" s="313"/>
      <c r="AR39" s="313"/>
    </row>
    <row r="40" spans="1:52" ht="30" customHeight="1">
      <c r="AK40" s="293" t="e">
        <f>COUNTIFS([2]EXPEDIENTES!Q:Q,"=Prisión Preventiva",[2]EXPEDIENTES!J:J,"=Dr. Rodriguez Pipino")</f>
        <v>#VALUE!</v>
      </c>
      <c r="AL40" s="292" t="e">
        <f>AK40/AK51</f>
        <v>#VALUE!</v>
      </c>
      <c r="AM40" s="294" t="s">
        <v>577</v>
      </c>
      <c r="AQ40" s="192" t="str">
        <f ca="1">"Fuente: OFIJU GAR - Información al "&amp;TEXT(TODAY(),"DD/MM/YYYY")</f>
        <v>Fuente: OFIJU GAR - Información al 16/11/2023</v>
      </c>
      <c r="AR40" s="313"/>
    </row>
    <row r="41" spans="1:52" ht="30" customHeight="1">
      <c r="AK41" s="293" t="e">
        <f>COUNTIFS([2]EXPEDIENTES!Q:Q,"Juicio Abreviado - Efectiva",[2]EXPEDIENTES!J:J,"=Dr. Rodriguez Pipino")</f>
        <v>#VALUE!</v>
      </c>
      <c r="AL41" s="292" t="e">
        <f>AK41/AK51</f>
        <v>#VALUE!</v>
      </c>
      <c r="AM41" s="294" t="s">
        <v>1322</v>
      </c>
    </row>
    <row r="42" spans="1:52" ht="30" customHeight="1">
      <c r="AK42" s="293" t="e">
        <f>COUNTIFS([2]EXPEDIENTES!Q:Q,"Juicio Abreviado - Condicional y reglas de conducta",[2]EXPEDIENTES!J:J,"=Dr. Rodriguez Pipino")</f>
        <v>#VALUE!</v>
      </c>
      <c r="AL42" s="292" t="e">
        <f>AK42/AK51</f>
        <v>#VALUE!</v>
      </c>
      <c r="AM42" s="294" t="s">
        <v>1323</v>
      </c>
      <c r="AQ42" s="445" t="s">
        <v>1997</v>
      </c>
      <c r="AR42" s="445"/>
      <c r="AS42" s="445"/>
      <c r="AT42" s="445"/>
      <c r="AU42" s="445"/>
      <c r="AV42" s="445"/>
      <c r="AW42" s="445"/>
      <c r="AX42" s="445"/>
      <c r="AY42" s="445"/>
      <c r="AZ42" s="445"/>
    </row>
    <row r="43" spans="1:52" ht="30" customHeight="1">
      <c r="A43" s="301"/>
      <c r="B43" s="301"/>
      <c r="C43" s="301"/>
      <c r="AK43" s="293" t="e">
        <f>COUNTIFS([2]EXPEDIENTES!Q:Q,"Libertad",[2]EXPEDIENTES!J:J,"=Dr. Rodriguez Pipino")</f>
        <v>#VALUE!</v>
      </c>
      <c r="AL43" s="292" t="e">
        <f>AK43/AK51</f>
        <v>#VALUE!</v>
      </c>
      <c r="AM43" s="294" t="s">
        <v>902</v>
      </c>
      <c r="AQ43" s="444" t="s">
        <v>2439</v>
      </c>
      <c r="AR43" s="444"/>
      <c r="AS43" s="444"/>
      <c r="AT43" s="444"/>
      <c r="AU43" s="444"/>
      <c r="AV43" s="444"/>
      <c r="AW43" s="444"/>
      <c r="AX43" s="444"/>
      <c r="AY43" s="444"/>
      <c r="AZ43" s="444"/>
    </row>
    <row r="44" spans="1:52" ht="30" customHeight="1">
      <c r="A44" s="299" t="s">
        <v>929</v>
      </c>
      <c r="B44" s="299" t="s">
        <v>1297</v>
      </c>
      <c r="C44" s="285" t="s">
        <v>937</v>
      </c>
      <c r="AQ44" s="202" t="s">
        <v>929</v>
      </c>
      <c r="AR44" s="202" t="s">
        <v>930</v>
      </c>
    </row>
    <row r="45" spans="1:52" ht="30" customHeight="1">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c r="A46" s="293" t="e">
        <f>COUNTIF([2]EXPEDIENTES!J:J,"Dr. Colombo")</f>
        <v>#VALUE!</v>
      </c>
      <c r="B46" s="292" t="e">
        <f>A46/A53</f>
        <v>#VALUE!</v>
      </c>
      <c r="C46" s="291" t="s">
        <v>31</v>
      </c>
      <c r="AQ46" s="282">
        <f ca="1">COUNTIFS(EXPEDIENTES!Q:Q,$AR46,EXPEDIENTES!O:O,"SI")</f>
        <v>2</v>
      </c>
      <c r="AR46" s="311" t="s">
        <v>1023</v>
      </c>
    </row>
    <row r="47" spans="1:52" ht="30.75" customHeight="1">
      <c r="A47" s="293" t="e">
        <f>COUNTIF([2]EXPEDIENTES!J:J,"Dr. Pastrana")</f>
        <v>#VALUE!</v>
      </c>
      <c r="B47" s="292" t="e">
        <f>A47/A53</f>
        <v>#VALUE!</v>
      </c>
      <c r="C47" s="291" t="s">
        <v>35</v>
      </c>
      <c r="AQ47" s="282">
        <f ca="1">COUNTIFS(EXPEDIENTES!Q:Q,$AR47,EXPEDIENTES!O:O,"SI")</f>
        <v>144</v>
      </c>
      <c r="AR47" s="311" t="s">
        <v>905</v>
      </c>
    </row>
    <row r="48" spans="1:52" ht="26.25" customHeight="1">
      <c r="A48" s="293" t="e">
        <f>COUNTIF([2]EXPEDIENTES!J:J,"Dr. Rodriguez Pipino")</f>
        <v>#VALUE!</v>
      </c>
      <c r="B48" s="292" t="e">
        <f>A48/A53</f>
        <v>#VALUE!</v>
      </c>
      <c r="C48" s="297" t="s">
        <v>33</v>
      </c>
      <c r="AQ48" s="282">
        <f ca="1">COUNTIFS(EXPEDIENTES!Q:Q,$AR48,EXPEDIENTES!O:O,"SI")</f>
        <v>261</v>
      </c>
      <c r="AR48" s="311" t="s">
        <v>904</v>
      </c>
    </row>
    <row r="49" spans="1:52" ht="27.75" customHeight="1">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11</v>
      </c>
      <c r="AR49" s="311" t="s">
        <v>902</v>
      </c>
    </row>
    <row r="50" spans="1:52" ht="26.25" customHeight="1">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100</v>
      </c>
      <c r="AR50" s="311" t="s">
        <v>899</v>
      </c>
    </row>
    <row r="51" spans="1:52" ht="34.5" customHeight="1">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311</v>
      </c>
      <c r="AR53" s="311" t="s">
        <v>151</v>
      </c>
    </row>
    <row r="54" spans="1:52" ht="24.95" customHeight="1">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16</v>
      </c>
      <c r="AR54" s="311" t="s">
        <v>912</v>
      </c>
    </row>
    <row r="55" spans="1:52" ht="24.95" customHeight="1">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8</v>
      </c>
      <c r="AR55" s="311" t="s">
        <v>911</v>
      </c>
    </row>
    <row r="56" spans="1:52" ht="24.95" customHeight="1">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1</v>
      </c>
      <c r="AR57" s="311" t="s">
        <v>1012</v>
      </c>
    </row>
    <row r="58" spans="1:52" ht="24.95" customHeight="1">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c r="AK59" s="296" t="e">
        <f>COUNTIFS([2]EXPEDIENTES!J:J,"=Dra. Puertas")-SUM(AK55:AK58,AK60)</f>
        <v>#VALUE!</v>
      </c>
      <c r="AL59" s="292" t="e">
        <f>AK59/AK61</f>
        <v>#VALUE!</v>
      </c>
      <c r="AM59" s="294" t="s">
        <v>1324</v>
      </c>
      <c r="AQ59" s="282">
        <f ca="1">COUNTIFS(EXPEDIENTES!Q:Q,$AR59,EXPEDIENTES!O:O,"SI")</f>
        <v>5</v>
      </c>
      <c r="AR59" s="311" t="s">
        <v>1900</v>
      </c>
    </row>
    <row r="60" spans="1:52" ht="24.95" customHeight="1">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909</v>
      </c>
      <c r="AR60" s="202" t="s">
        <v>370</v>
      </c>
    </row>
    <row r="61" spans="1:52" ht="24.95" customHeight="1">
      <c r="AK61" s="290" t="e">
        <f>SUM(AK55:AK60)</f>
        <v>#VALUE!</v>
      </c>
      <c r="AL61" s="289" t="e">
        <f>SUM(AL55:AL60)</f>
        <v>#VALUE!</v>
      </c>
      <c r="AM61" s="288" t="s">
        <v>370</v>
      </c>
      <c r="AQ61" s="192" t="str">
        <f ca="1">"Fuente: OFIJU GAR - Información al "&amp;TEXT(TODAY(),"DD/MM/YYYY")</f>
        <v>Fuente: OFIJU GAR - Información al 16/11/2023</v>
      </c>
    </row>
    <row r="62" spans="1:52" ht="24.95" customHeight="1"/>
    <row r="63" spans="1:52" ht="24.95" customHeight="1">
      <c r="AQ63" s="445" t="s">
        <v>1997</v>
      </c>
      <c r="AR63" s="445"/>
      <c r="AS63" s="445"/>
      <c r="AT63" s="445"/>
      <c r="AU63" s="445"/>
      <c r="AV63" s="445"/>
      <c r="AW63" s="445"/>
      <c r="AX63" s="445"/>
      <c r="AY63" s="445"/>
      <c r="AZ63" s="445"/>
    </row>
    <row r="64" spans="1:52" ht="24.95" customHeight="1">
      <c r="AQ64" s="444" t="s">
        <v>2928</v>
      </c>
      <c r="AR64" s="444"/>
      <c r="AS64" s="444"/>
      <c r="AT64" s="444"/>
      <c r="AU64" s="444"/>
      <c r="AV64" s="444"/>
      <c r="AW64" s="444"/>
      <c r="AX64" s="444"/>
      <c r="AY64" s="444"/>
      <c r="AZ64" s="444"/>
    </row>
    <row r="65" spans="1:44" ht="13.5" thickBot="1"/>
    <row r="66" spans="1:44" ht="18">
      <c r="AQ66" s="310" t="s">
        <v>929</v>
      </c>
      <c r="AR66" s="309" t="s">
        <v>930</v>
      </c>
    </row>
    <row r="67" spans="1:44" ht="28.35" customHeight="1">
      <c r="A67" s="192"/>
      <c r="H67" s="192"/>
      <c r="I67" s="192"/>
      <c r="K67" s="191"/>
      <c r="AQ67" s="308">
        <f ca="1">COUNTIFS(EXPEDIENTES!R:R,$AR67,EXPEDIENTES!O:O,"SI")</f>
        <v>2</v>
      </c>
      <c r="AR67" s="307" t="s">
        <v>910</v>
      </c>
    </row>
    <row r="68" spans="1:44" ht="28.35" customHeight="1">
      <c r="AQ68" s="308">
        <f ca="1">COUNTIFS(EXPEDIENTES!R:R,$AR68,EXPEDIENTES!O:O,"SI")</f>
        <v>2</v>
      </c>
      <c r="AR68" s="307" t="s">
        <v>907</v>
      </c>
    </row>
    <row r="69" spans="1:44" ht="28.35" customHeight="1">
      <c r="AQ69" s="308">
        <f ca="1">COUNTIFS(EXPEDIENTES!R:R,$AR69,EXPEDIENTES!O:O,"SI")</f>
        <v>416</v>
      </c>
      <c r="AR69" s="307" t="s">
        <v>100</v>
      </c>
    </row>
    <row r="70" spans="1:44" ht="28.35" customHeight="1">
      <c r="AQ70" s="308">
        <f ca="1">COUNTIFS(EXPEDIENTES!R:R,$AR70,EXPEDIENTES!O:O,"SI")</f>
        <v>111</v>
      </c>
      <c r="AR70" s="307" t="s">
        <v>902</v>
      </c>
    </row>
    <row r="71" spans="1:44" ht="28.35" customHeight="1">
      <c r="AQ71" s="308">
        <f ca="1">COUNTIFS(EXPEDIENTES!R:R,$AR71,EXPEDIENTES!O:O,"SI")</f>
        <v>17</v>
      </c>
      <c r="AR71" s="307" t="s">
        <v>913</v>
      </c>
    </row>
    <row r="72" spans="1:44" ht="28.35" customHeight="1">
      <c r="AQ72" s="308">
        <f ca="1">COUNTIFS(EXPEDIENTES!R:R,$AR72,EXPEDIENTES!O:O,"SI")</f>
        <v>311</v>
      </c>
      <c r="AR72" s="307" t="s">
        <v>151</v>
      </c>
    </row>
    <row r="73" spans="1:44" ht="28.35" customHeight="1">
      <c r="AQ73" s="308">
        <f ca="1">COUNTIFS(EXPEDIENTES!R:R,$AR73,EXPEDIENTES!O:O,"SI")</f>
        <v>25</v>
      </c>
      <c r="AR73" s="307" t="s">
        <v>949</v>
      </c>
    </row>
    <row r="74" spans="1:44" ht="28.35" customHeight="1">
      <c r="AQ74" s="308">
        <f ca="1">COUNTIFS(EXPEDIENTES!R:R,$AR74,EXPEDIENTES!O:O,"SI")</f>
        <v>20</v>
      </c>
      <c r="AR74" s="307" t="s">
        <v>909</v>
      </c>
    </row>
    <row r="75" spans="1:44" ht="28.35" customHeight="1">
      <c r="AQ75" s="308">
        <f ca="1">COUNTIFS(EXPEDIENTES!R:R,$AR75,EXPEDIENTES!O:O,"SI")</f>
        <v>5</v>
      </c>
      <c r="AR75" s="307" t="s">
        <v>1900</v>
      </c>
    </row>
    <row r="76" spans="1:44" ht="28.35" customHeight="1" thickBot="1">
      <c r="M76" s="191" t="s">
        <v>1320</v>
      </c>
      <c r="N76" s="191" t="s">
        <v>1330</v>
      </c>
      <c r="AQ76" s="306">
        <f ca="1">SUM(AQ67:AQ75)</f>
        <v>909</v>
      </c>
      <c r="AR76" s="305" t="s">
        <v>370</v>
      </c>
    </row>
    <row r="77" spans="1:44" ht="28.35" customHeight="1">
      <c r="M77" s="299" t="s">
        <v>929</v>
      </c>
      <c r="N77" s="298" t="s">
        <v>1297</v>
      </c>
      <c r="O77" s="298" t="s">
        <v>930</v>
      </c>
      <c r="AQ77" s="303"/>
      <c r="AR77" s="302"/>
    </row>
    <row r="78" spans="1:44" ht="28.35" customHeight="1">
      <c r="M78" s="293" t="e">
        <f>COUNTIFS([2]EXPEDIENTES!Q:Q,"=Prisión Preventiva",[2]EXPEDIENTES!H:H,"&gt;=01/06/2023",[2]EXPEDIENTES!H:H,"&lt;=30/06/2023")</f>
        <v>#VALUE!</v>
      </c>
      <c r="N78" s="292" t="e">
        <f>M78/M84</f>
        <v>#VALUE!</v>
      </c>
      <c r="O78" s="294" t="s">
        <v>577</v>
      </c>
      <c r="AQ78" s="304"/>
      <c r="AR78" s="304"/>
    </row>
    <row r="79" spans="1:44" ht="28.35" customHeight="1">
      <c r="M79" s="293" t="e">
        <f>COUNTIFS([2]EXPEDIENTES!Q:Q,"Juicio Abreviado - Efectiva",[2]EXPEDIENTES!H:H,"&gt;=01/06/2023",[2]EXPEDIENTES!H:H,"&lt;=30/06/2023")</f>
        <v>#VALUE!</v>
      </c>
      <c r="N79" s="292" t="e">
        <f>M79/M84</f>
        <v>#VALUE!</v>
      </c>
      <c r="O79" s="294" t="s">
        <v>1322</v>
      </c>
      <c r="AQ79" s="303"/>
      <c r="AR79" s="302"/>
    </row>
    <row r="80" spans="1:44" ht="28.35" customHeight="1">
      <c r="M80" s="293" t="e">
        <f>COUNTIFS([2]EXPEDIENTES!Q:Q,"Juicio Abreviado - Condicional y reglas de conducta",[2]EXPEDIENTES!H:H,"&gt;=01/06/2023",[2]EXPEDIENTES!H:H,"&lt;=30/06/2023")</f>
        <v>#VALUE!</v>
      </c>
      <c r="N80" s="292" t="e">
        <f>M80/M84</f>
        <v>#VALUE!</v>
      </c>
      <c r="O80" s="294" t="s">
        <v>1323</v>
      </c>
      <c r="AQ80" s="304"/>
      <c r="AR80" s="304"/>
    </row>
    <row r="81" spans="13:44" ht="28.35" customHeight="1">
      <c r="M81" s="293" t="e">
        <f>COUNTIFS([2]EXPEDIENTES!R:R,"Libertad",[2]EXPEDIENTES!H:H,"&gt;=01/06/2023",[2]EXPEDIENTES!H:H,"&lt;=30/06/2023")</f>
        <v>#VALUE!</v>
      </c>
      <c r="N81" s="292" t="e">
        <f>M81/M84</f>
        <v>#VALUE!</v>
      </c>
      <c r="O81" s="294" t="s">
        <v>902</v>
      </c>
      <c r="AQ81" s="303"/>
      <c r="AR81" s="302"/>
    </row>
    <row r="82" spans="13:44" ht="18" customHeight="1">
      <c r="M82" s="296" t="e">
        <f>COUNTIFS([2]EXPEDIENTES!H:H,"&gt;=01/06/2023",[2]EXPEDIENTES!H:H,"&lt;=30/06/2023",[2]EXPEDIENTES!O:O,"&lt;&gt;NO")-SUM(M78:M81,M83)</f>
        <v>#VALUE!</v>
      </c>
      <c r="N82" s="292" t="e">
        <f>M82/M84</f>
        <v>#VALUE!</v>
      </c>
      <c r="O82" s="294" t="s">
        <v>1324</v>
      </c>
      <c r="AQ82" s="303"/>
      <c r="AR82" s="302"/>
    </row>
    <row r="83" spans="13:44" ht="21" customHeight="1">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c r="M84" s="290" t="e">
        <f>SUM(M78:M83)</f>
        <v>#VALUE!</v>
      </c>
      <c r="N84" s="289" t="e">
        <f>SUM(N78:N83)</f>
        <v>#VALUE!</v>
      </c>
      <c r="O84" s="288" t="s">
        <v>370</v>
      </c>
    </row>
    <row r="85" spans="13:44" ht="23.25" customHeight="1"/>
    <row r="86" spans="13:44" ht="21" customHeight="1"/>
    <row r="103" spans="13:15" ht="27.75" customHeight="1">
      <c r="M103" s="191" t="s">
        <v>1320</v>
      </c>
      <c r="N103" s="191" t="s">
        <v>1991</v>
      </c>
    </row>
    <row r="104" spans="13:15" ht="27" customHeight="1">
      <c r="M104" s="299" t="s">
        <v>929</v>
      </c>
      <c r="N104" s="298" t="s">
        <v>1297</v>
      </c>
      <c r="O104" s="298" t="s">
        <v>930</v>
      </c>
    </row>
    <row r="105" spans="13:15" ht="23.25" customHeight="1">
      <c r="M105" s="293" t="e">
        <f>COUNTIFS([2]EXPEDIENTES!Q:Q,"=Prisión Preventiva",[2]EXPEDIENTES!H:H,"&gt;=01/07/2023",[2]EXPEDIENTES!H:H,"&lt;=31/07/2023")</f>
        <v>#VALUE!</v>
      </c>
      <c r="N105" s="292" t="e">
        <f>M105/M111</f>
        <v>#VALUE!</v>
      </c>
      <c r="O105" s="294" t="s">
        <v>577</v>
      </c>
    </row>
    <row r="106" spans="13:15" ht="24" customHeight="1">
      <c r="M106" s="293" t="e">
        <f>COUNTIFS([2]EXPEDIENTES!Q:Q,"Juicio Abreviado - Efectiva",[2]EXPEDIENTES!H:H,"&gt;=01/07/2023",[2]EXPEDIENTES!H:H,"&lt;=31/07/2023")</f>
        <v>#VALUE!</v>
      </c>
      <c r="N106" s="292" t="e">
        <f>M106/M111</f>
        <v>#VALUE!</v>
      </c>
      <c r="O106" s="294" t="s">
        <v>1322</v>
      </c>
    </row>
    <row r="107" spans="13:15" ht="24" customHeight="1">
      <c r="M107" s="293" t="e">
        <f>COUNTIFS([2]EXPEDIENTES!Q:Q,"Juicio Abreviado - Condicional y reglas de conducta",[2]EXPEDIENTES!H:H,"&gt;=01/07/2023",[2]EXPEDIENTES!H:H,"&lt;=31/07/2023")</f>
        <v>#VALUE!</v>
      </c>
      <c r="N107" s="292" t="e">
        <f>M107/M111</f>
        <v>#VALUE!</v>
      </c>
      <c r="O107" s="294" t="s">
        <v>1323</v>
      </c>
    </row>
    <row r="108" spans="13:15" ht="24.75" customHeight="1">
      <c r="M108" s="293" t="e">
        <f>COUNTIFS([2]EXPEDIENTES!R:R,"Libertad",[2]EXPEDIENTES!H:H,"&gt;=01/07/2023",[2]EXPEDIENTES!H:H,"&lt;=31/07/2023")</f>
        <v>#VALUE!</v>
      </c>
      <c r="N108" s="292" t="e">
        <f>M108/M111</f>
        <v>#VALUE!</v>
      </c>
      <c r="O108" s="294" t="s">
        <v>902</v>
      </c>
    </row>
    <row r="109" spans="13:15" ht="24.75" customHeight="1">
      <c r="M109" s="296" t="e">
        <f>COUNTIFS([2]EXPEDIENTES!H:H,"&gt;=01/07/2023",[2]EXPEDIENTES!H:H,"&lt;=31/07/2023",[2]EXPEDIENTES!O:O,"&lt;&gt;NO")-SUM(M105:M108,M110)</f>
        <v>#VALUE!</v>
      </c>
      <c r="N109" s="292" t="e">
        <f>M109/M111</f>
        <v>#VALUE!</v>
      </c>
      <c r="O109" s="294" t="s">
        <v>1324</v>
      </c>
    </row>
    <row r="110" spans="13:15" ht="19.5" customHeight="1">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c r="M111" s="290" t="e">
        <f>SUM(M105:M110)</f>
        <v>#VALUE!</v>
      </c>
      <c r="N111" s="289" t="e">
        <f>SUM(N105:N110)</f>
        <v>#VALUE!</v>
      </c>
      <c r="O111" s="288" t="s">
        <v>370</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PageLayoutView="70" workbookViewId="0">
      <selection activeCell="B16" sqref="B16"/>
    </sheetView>
  </sheetViews>
  <sheetFormatPr baseColWidth="10" defaultRowHeight="12.75"/>
  <cols>
    <col min="1" max="1" width="6.28515625" customWidth="1"/>
    <col min="2" max="2" width="42.42578125" customWidth="1"/>
    <col min="3" max="3" width="49.28515625" customWidth="1"/>
    <col min="5" max="13" width="11.42578125" style="225"/>
  </cols>
  <sheetData>
    <row r="1" spans="1:16384" ht="20.25">
      <c r="B1" s="27" t="s">
        <v>514</v>
      </c>
      <c r="C1" s="21">
        <f ca="1">TODAY()</f>
        <v>45246</v>
      </c>
    </row>
    <row r="2" spans="1:16384" ht="21.95" customHeight="1">
      <c r="B2" s="448" t="s">
        <v>393</v>
      </c>
      <c r="C2" s="448"/>
    </row>
    <row r="3" spans="1:16384" ht="21.95" customHeight="1">
      <c r="B3" s="13" t="s">
        <v>3</v>
      </c>
      <c r="C3" s="13" t="s">
        <v>362</v>
      </c>
    </row>
    <row r="4" spans="1:16384" ht="21.95" customHeight="1">
      <c r="B4" s="11" t="s">
        <v>43</v>
      </c>
      <c r="C4" s="11">
        <f ca="1">COUNTIFS(EXPEDIENTES!G:G,B4,EXPEDIENTES!O:O,"NO")</f>
        <v>3</v>
      </c>
    </row>
    <row r="5" spans="1:16384" ht="21.95" customHeight="1">
      <c r="B5" s="11" t="s">
        <v>29</v>
      </c>
      <c r="C5" s="11">
        <f ca="1">COUNTIFS(EXPEDIENTES!G:G,B5,EXPEDIENTES!O:O,"NO")</f>
        <v>0</v>
      </c>
    </row>
    <row r="6" spans="1:16384" ht="21.95" customHeight="1">
      <c r="B6" s="11" t="s">
        <v>283</v>
      </c>
      <c r="C6" s="11">
        <f ca="1">COUNTIFS(EXPEDIENTES!G:G,B6,EXPEDIENTES!O:O,"NO")</f>
        <v>6</v>
      </c>
    </row>
    <row r="7" spans="1:16384" ht="21.95" customHeight="1">
      <c r="B7" s="11" t="s">
        <v>32</v>
      </c>
      <c r="C7" s="11">
        <f ca="1">COUNTIFS(EXPEDIENTES!G:G,B7,EXPEDIENTES!O:O,"NO")</f>
        <v>0</v>
      </c>
    </row>
    <row r="8" spans="1:16384" ht="21.95" customHeight="1">
      <c r="B8" s="11" t="s">
        <v>1440</v>
      </c>
      <c r="C8" s="11">
        <f ca="1">COUNTIFS(EXPEDIENTES!G:G,B8,EXPEDIENTES!O:O,"NO")</f>
        <v>8</v>
      </c>
    </row>
    <row r="9" spans="1:16384" ht="21.95" customHeight="1">
      <c r="B9" s="11" t="s">
        <v>568</v>
      </c>
      <c r="C9" s="11">
        <f ca="1">COUNTIFS(EXPEDIENTES!G:G,B9,EXPEDIENTES!O:O,"NO")</f>
        <v>6</v>
      </c>
    </row>
    <row r="10" spans="1:16384" ht="21.95" customHeight="1">
      <c r="B10" s="11" t="s">
        <v>1441</v>
      </c>
      <c r="C10" s="11">
        <f ca="1">COUNTIFS(EXPEDIENTES!G:G,B10,EXPEDIENTES!O:O,"NO")</f>
        <v>9</v>
      </c>
    </row>
    <row r="11" spans="1:16384" s="115" customFormat="1" ht="21.95" customHeight="1">
      <c r="A11" s="116"/>
      <c r="B11" s="11" t="s">
        <v>1442</v>
      </c>
      <c r="C11" s="11">
        <f ca="1">COUNTIFS(EXPEDIENTES!G:G,B11,EXPEDIENTES!O:O,"NO")</f>
        <v>8</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9" t="s">
        <v>2770</v>
      </c>
      <c r="C12" s="11">
        <f ca="1">COUNTIFS(EXPEDIENTES!G:G,B12,EXPEDIENTES!O:O,"NO")</f>
        <v>2</v>
      </c>
    </row>
    <row r="13" spans="1:16384" ht="21.95" customHeight="1">
      <c r="B13" s="279" t="s">
        <v>2771</v>
      </c>
      <c r="C13" s="11">
        <f ca="1">COUNTIFS(EXPEDIENTES!G:G,B13,EXPEDIENTES!O:O,"NO")</f>
        <v>2</v>
      </c>
    </row>
    <row r="14" spans="1:16384" ht="21.95" customHeight="1">
      <c r="B14" s="279" t="s">
        <v>2772</v>
      </c>
      <c r="C14" s="11">
        <f ca="1">COUNTIFS(EXPEDIENTES!G:G,B14,EXPEDIENTES!O:O,"NO")</f>
        <v>0</v>
      </c>
    </row>
    <row r="15" spans="1:16384" ht="27" customHeight="1">
      <c r="B15" s="279" t="s">
        <v>2785</v>
      </c>
      <c r="C15" s="11">
        <f ca="1">COUNTIFS(EXPEDIENTES!G:G,B15,EXPEDIENTES!O:O,"NO")</f>
        <v>8</v>
      </c>
    </row>
    <row r="16" spans="1:16384" ht="21.95" customHeight="1">
      <c r="B16" s="279" t="s">
        <v>2835</v>
      </c>
      <c r="C16" s="11">
        <f ca="1">COUNTIFS(EXPEDIENTES!G:G,B16,EXPEDIENTES!O:O,"NO")</f>
        <v>9</v>
      </c>
    </row>
    <row r="17" spans="2:12" ht="21.95" customHeight="1">
      <c r="B17" s="279" t="s">
        <v>3362</v>
      </c>
      <c r="C17" s="11">
        <f ca="1">COUNTIFS(EXPEDIENTES!G:G,B17,EXPEDIENTES!O:O,"NO")</f>
        <v>7</v>
      </c>
    </row>
    <row r="18" spans="2:12" ht="21.95" customHeight="1">
      <c r="B18" s="279" t="s">
        <v>3363</v>
      </c>
      <c r="C18" s="11">
        <f ca="1">COUNTIFS(EXPEDIENTES!G:G,B18,EXPEDIENTES!O:O,"NO")</f>
        <v>8</v>
      </c>
    </row>
    <row r="19" spans="2:12" ht="21.95" customHeight="1">
      <c r="B19" s="279" t="s">
        <v>3690</v>
      </c>
      <c r="C19" s="11">
        <f ca="1">COUNTIFS(EXPEDIENTES!G:G,B19,EXPEDIENTES!O:O,"NO")</f>
        <v>0</v>
      </c>
    </row>
    <row r="20" spans="2:12" ht="21.95" customHeight="1">
      <c r="B20" s="11" t="s">
        <v>2287</v>
      </c>
      <c r="C20" s="11">
        <f ca="1">H36+'Exp por Encargado - Alvaro'!C5</f>
        <v>0</v>
      </c>
    </row>
    <row r="21" spans="2:12" ht="21.95" customHeight="1">
      <c r="B21" s="25" t="s">
        <v>372</v>
      </c>
      <c r="C21" s="224">
        <f ca="1">SUM(C4:C20)</f>
        <v>76</v>
      </c>
      <c r="F21" s="226"/>
      <c r="G21" s="226"/>
      <c r="H21" s="226"/>
      <c r="I21" s="226"/>
      <c r="J21" s="226"/>
      <c r="K21" s="226"/>
      <c r="L21" s="226"/>
    </row>
    <row r="22" spans="2:12" ht="21.95" customHeight="1">
      <c r="B22" s="11" t="s">
        <v>628</v>
      </c>
      <c r="C22" s="11">
        <f>'no realizadas'!N10</f>
        <v>0</v>
      </c>
      <c r="F22" s="226"/>
      <c r="G22" s="226"/>
      <c r="H22" s="226"/>
      <c r="I22" s="226"/>
      <c r="J22" s="226"/>
      <c r="K22" s="226"/>
      <c r="L22" s="226"/>
    </row>
    <row r="23" spans="2:12" ht="21.95" customHeight="1">
      <c r="F23" s="226"/>
      <c r="G23" s="276"/>
      <c r="H23" s="226"/>
      <c r="I23" s="226"/>
      <c r="J23" s="226"/>
      <c r="K23" s="226"/>
      <c r="L23" s="226"/>
    </row>
    <row r="24" spans="2:12" ht="21.95" customHeight="1">
      <c r="F24" s="226"/>
      <c r="G24" s="276"/>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6"/>
      <c r="H27" s="223">
        <f>COUNTIF(EXPEDIENTES!G:G,G27)</f>
        <v>0</v>
      </c>
      <c r="I27" s="226"/>
      <c r="J27" s="226"/>
      <c r="K27" s="226"/>
      <c r="L27" s="226"/>
    </row>
    <row r="28" spans="2:12" ht="21.95" customHeight="1">
      <c r="B28" s="448" t="s">
        <v>448</v>
      </c>
      <c r="C28" s="448"/>
      <c r="F28" s="226"/>
      <c r="G28" s="24" t="s">
        <v>2286</v>
      </c>
      <c r="H28" s="223">
        <f>COUNTIF(EXPEDIENTES!G:G,G28)</f>
        <v>0</v>
      </c>
      <c r="I28" s="226"/>
      <c r="J28" s="226"/>
      <c r="K28" s="226"/>
      <c r="L28" s="226"/>
    </row>
    <row r="29" spans="2:12" ht="24.95" customHeight="1">
      <c r="B29" s="13" t="s">
        <v>3</v>
      </c>
      <c r="C29" s="13" t="s">
        <v>362</v>
      </c>
      <c r="F29" s="226"/>
      <c r="G29" s="226"/>
      <c r="H29" s="223">
        <f>SUM(H25:H28)</f>
        <v>0</v>
      </c>
      <c r="I29" s="226"/>
      <c r="J29" s="226"/>
      <c r="K29" s="226"/>
      <c r="L29" s="226"/>
    </row>
    <row r="30" spans="2:12" ht="24.95" customHeight="1">
      <c r="B30" s="11" t="s">
        <v>43</v>
      </c>
      <c r="C30" s="11">
        <f>COUNTIF(EXPEDIENTES!G:G,B30)</f>
        <v>107</v>
      </c>
      <c r="F30" s="226"/>
      <c r="G30" s="226"/>
      <c r="H30" s="226"/>
      <c r="I30" s="226"/>
      <c r="J30" s="226"/>
      <c r="K30" s="226"/>
      <c r="L30" s="226"/>
    </row>
    <row r="31" spans="2:12" ht="24.95" customHeight="1">
      <c r="B31" s="11" t="s">
        <v>29</v>
      </c>
      <c r="C31" s="11">
        <f>COUNTIF(EXPEDIENTES!G:G,B31)</f>
        <v>90</v>
      </c>
      <c r="F31" s="226"/>
      <c r="G31" s="226" t="s">
        <v>2289</v>
      </c>
      <c r="H31" s="226"/>
      <c r="I31" s="226"/>
      <c r="J31" s="226"/>
      <c r="K31" s="226"/>
      <c r="L31" s="226"/>
    </row>
    <row r="32" spans="2:12" ht="21.95" customHeight="1">
      <c r="B32" s="11" t="s">
        <v>283</v>
      </c>
      <c r="C32" s="11">
        <f>COUNTIF(EXPEDIENTES!G:G,B32)</f>
        <v>118</v>
      </c>
      <c r="D32" s="10"/>
      <c r="F32" s="226"/>
      <c r="G32" s="24" t="s">
        <v>1659</v>
      </c>
      <c r="H32" s="223">
        <f ca="1">COUNTIFS(EXPEDIENTES!G:G,G32,EXPEDIENTES!O:O,"NO")</f>
        <v>0</v>
      </c>
      <c r="I32" s="226"/>
      <c r="J32" s="226"/>
      <c r="K32" s="226"/>
      <c r="L32" s="226"/>
    </row>
    <row r="33" spans="2:12" ht="21.95" customHeight="1">
      <c r="B33" s="11" t="s">
        <v>32</v>
      </c>
      <c r="C33" s="11">
        <f>COUNTIF(EXPEDIENTES!G:G,B33)</f>
        <v>78</v>
      </c>
      <c r="D33" s="10"/>
      <c r="F33" s="226"/>
      <c r="G33" s="24" t="s">
        <v>1661</v>
      </c>
      <c r="H33" s="223">
        <f ca="1">COUNTIFS(EXPEDIENTES!G:G,G33,EXPEDIENTES!O:O,"NO")</f>
        <v>0</v>
      </c>
      <c r="I33" s="226"/>
      <c r="J33" s="226"/>
      <c r="K33" s="226"/>
      <c r="L33" s="226"/>
    </row>
    <row r="34" spans="2:12" ht="21.95" customHeight="1">
      <c r="B34" s="11" t="s">
        <v>1440</v>
      </c>
      <c r="C34" s="11">
        <f>COUNTIF(EXPEDIENTES!G:G,B34)</f>
        <v>132</v>
      </c>
      <c r="D34" s="10"/>
      <c r="F34" s="226"/>
      <c r="G34" s="24" t="s">
        <v>1740</v>
      </c>
      <c r="H34" s="223">
        <f ca="1">COUNTIFS(EXPEDIENTES!G:G,G34,EXPEDIENTES!O:O,"NO")</f>
        <v>0</v>
      </c>
      <c r="I34" s="226"/>
      <c r="J34" s="226"/>
      <c r="K34" s="226"/>
      <c r="L34" s="226"/>
    </row>
    <row r="35" spans="2:12" ht="21.95" customHeight="1">
      <c r="B35" s="11" t="s">
        <v>568</v>
      </c>
      <c r="C35" s="11">
        <f>COUNTIF(EXPEDIENTES!G:G,B35)</f>
        <v>85</v>
      </c>
      <c r="D35" s="10"/>
      <c r="F35" s="226"/>
      <c r="G35" s="24" t="s">
        <v>2286</v>
      </c>
      <c r="H35" s="223">
        <f>COUNTIFS(EXPEDIENTES!G:G,G35,EXPEDIENTES!O:O,"NO")</f>
        <v>0</v>
      </c>
      <c r="I35" s="226"/>
      <c r="J35" s="226"/>
      <c r="K35" s="226"/>
      <c r="L35" s="226"/>
    </row>
    <row r="36" spans="2:12" ht="21.95" customHeight="1">
      <c r="B36" s="11" t="s">
        <v>1441</v>
      </c>
      <c r="C36" s="11">
        <f>COUNTIF(EXPEDIENTES!G:G,B36)</f>
        <v>80</v>
      </c>
      <c r="F36" s="226"/>
      <c r="G36" s="226"/>
      <c r="H36" s="223">
        <f ca="1">SUM(H32:H35)</f>
        <v>0</v>
      </c>
      <c r="I36" s="226"/>
      <c r="J36" s="226"/>
      <c r="K36" s="226"/>
      <c r="L36" s="226"/>
    </row>
    <row r="37" spans="2:12" ht="21.95" customHeight="1">
      <c r="B37" s="11" t="s">
        <v>1442</v>
      </c>
      <c r="C37" s="11">
        <f>COUNTIF(EXPEDIENTES!G:G,B37)</f>
        <v>81</v>
      </c>
      <c r="F37" s="226"/>
      <c r="G37" s="226"/>
      <c r="H37" s="226"/>
      <c r="I37" s="226"/>
      <c r="J37" s="226"/>
      <c r="K37" s="226"/>
      <c r="L37" s="226"/>
    </row>
    <row r="38" spans="2:12" ht="21.95" customHeight="1">
      <c r="B38" s="11" t="s">
        <v>2287</v>
      </c>
      <c r="C38" s="11">
        <f>H29+'Exp por Encargado - Alvaro'!C17</f>
        <v>34</v>
      </c>
      <c r="F38" s="226"/>
      <c r="G38" s="226" t="s">
        <v>2288</v>
      </c>
      <c r="H38" s="226"/>
      <c r="I38" s="226"/>
      <c r="J38" s="226"/>
      <c r="K38" s="226"/>
      <c r="L38" s="226"/>
    </row>
    <row r="39" spans="2:12" ht="21.95" customHeight="1">
      <c r="B39" s="11" t="s">
        <v>450</v>
      </c>
      <c r="C39" s="11">
        <f>'no realizadas'!N10</f>
        <v>0</v>
      </c>
      <c r="F39" s="226"/>
      <c r="G39" s="24" t="s">
        <v>1659</v>
      </c>
      <c r="H39" s="223">
        <f ca="1">COUNTIFS(EXPEDIENTES!G:G,G39,EXPEDIENTES!O:O,"SI")</f>
        <v>5</v>
      </c>
      <c r="I39" s="226"/>
      <c r="J39" s="226"/>
      <c r="K39" s="226"/>
      <c r="L39" s="226"/>
    </row>
    <row r="40" spans="2:12" ht="21.95" customHeight="1">
      <c r="B40" s="277" t="s">
        <v>370</v>
      </c>
      <c r="C40" s="28">
        <f>SUM(C30:C39)</f>
        <v>805</v>
      </c>
      <c r="F40" s="226"/>
      <c r="G40" s="24" t="s">
        <v>1661</v>
      </c>
      <c r="H40" s="223">
        <f ca="1">COUNTIFS(EXPEDIENTES!G:G,G40,EXPEDIENTES!O:O,"SI")</f>
        <v>6</v>
      </c>
      <c r="I40" s="226"/>
      <c r="J40" s="226"/>
      <c r="K40" s="226"/>
      <c r="L40" s="226"/>
    </row>
    <row r="41" spans="2:12" ht="21.95" customHeight="1">
      <c r="F41" s="226"/>
      <c r="G41" s="24" t="s">
        <v>1740</v>
      </c>
      <c r="H41" s="223">
        <f ca="1">COUNTIFS(EXPEDIENTES!G:G,G41,EXPEDIENTES!O:O,"SI")</f>
        <v>3</v>
      </c>
      <c r="I41" s="226"/>
      <c r="J41" s="226"/>
      <c r="K41" s="226"/>
      <c r="L41" s="226"/>
    </row>
    <row r="42" spans="2:12" ht="18.75" customHeight="1">
      <c r="B42" s="278" t="s">
        <v>449</v>
      </c>
      <c r="C42" s="278"/>
      <c r="F42" s="226"/>
      <c r="G42" s="24" t="s">
        <v>2286</v>
      </c>
      <c r="H42" s="223">
        <f>COUNTIFS(EXPEDIENTES!G:G,G42,EXPEDIENTES!O:O,"SI")</f>
        <v>0</v>
      </c>
      <c r="I42" s="226"/>
      <c r="J42" s="226"/>
      <c r="K42" s="226"/>
      <c r="L42" s="226"/>
    </row>
    <row r="43" spans="2:12" ht="24.75" customHeight="1">
      <c r="B43" s="13" t="s">
        <v>3</v>
      </c>
      <c r="C43" s="13" t="s">
        <v>362</v>
      </c>
      <c r="F43" s="226"/>
      <c r="G43" s="226"/>
      <c r="H43" s="223">
        <f ca="1">SUM(H39:H42)</f>
        <v>14</v>
      </c>
      <c r="I43" s="226"/>
      <c r="J43" s="226"/>
      <c r="K43" s="226"/>
      <c r="L43" s="226"/>
    </row>
    <row r="44" spans="2:12" ht="18.75" customHeight="1">
      <c r="B44" s="11" t="s">
        <v>43</v>
      </c>
      <c r="C44" s="11">
        <f ca="1">COUNTIFS(EXPEDIENTES!G:G,B44,EXPEDIENTES!O:O,"SI")</f>
        <v>104</v>
      </c>
      <c r="F44" s="226"/>
      <c r="G44" s="226"/>
      <c r="H44" s="226"/>
      <c r="I44" s="226"/>
      <c r="J44" s="226"/>
      <c r="K44" s="226"/>
      <c r="L44" s="226"/>
    </row>
    <row r="45" spans="2:12" ht="28.5" customHeight="1">
      <c r="B45" s="11" t="s">
        <v>29</v>
      </c>
      <c r="C45" s="11">
        <f ca="1">COUNTIFS(EXPEDIENTES!G:G,B45,EXPEDIENTES!O:O,"SI")</f>
        <v>90</v>
      </c>
      <c r="F45" s="226"/>
      <c r="G45" s="226"/>
      <c r="H45" s="226"/>
      <c r="I45" s="226"/>
      <c r="J45" s="226"/>
      <c r="K45" s="226"/>
      <c r="L45" s="226"/>
    </row>
    <row r="46" spans="2:12" ht="28.5" customHeight="1">
      <c r="B46" s="11" t="s">
        <v>283</v>
      </c>
      <c r="C46" s="11">
        <f ca="1">COUNTIFS(EXPEDIENTES!G:G,B46,EXPEDIENTES!O:O,"SI")</f>
        <v>112</v>
      </c>
      <c r="F46" s="226"/>
      <c r="G46" s="226"/>
      <c r="H46" s="226"/>
      <c r="I46" s="226"/>
      <c r="J46" s="226"/>
      <c r="K46" s="226"/>
      <c r="L46" s="226"/>
    </row>
    <row r="47" spans="2:12" ht="34.5" customHeight="1">
      <c r="B47" s="11" t="s">
        <v>32</v>
      </c>
      <c r="C47" s="11">
        <f ca="1">COUNTIFS(EXPEDIENTES!G:G,B47,EXPEDIENTES!O:O,"SI")</f>
        <v>78</v>
      </c>
      <c r="F47" s="226"/>
      <c r="G47" s="226"/>
      <c r="H47" s="226"/>
      <c r="I47" s="226"/>
      <c r="J47" s="226"/>
      <c r="K47" s="226"/>
      <c r="L47" s="226"/>
    </row>
    <row r="48" spans="2:12">
      <c r="B48" s="11" t="s">
        <v>1440</v>
      </c>
      <c r="C48" s="11">
        <f ca="1">COUNTIFS(EXPEDIENTES!G:G,B48,EXPEDIENTES!O:O,"SI")</f>
        <v>124</v>
      </c>
      <c r="F48" s="226"/>
      <c r="G48" s="226"/>
      <c r="H48" s="226"/>
      <c r="I48" s="226"/>
      <c r="J48" s="226"/>
      <c r="K48" s="226"/>
      <c r="L48" s="226"/>
    </row>
    <row r="49" spans="2:12">
      <c r="B49" s="11" t="s">
        <v>568</v>
      </c>
      <c r="C49" s="11">
        <f ca="1">COUNTIFS(EXPEDIENTES!G:G,B49,EXPEDIENTES!O:O,"SI")</f>
        <v>78</v>
      </c>
      <c r="F49" s="226"/>
      <c r="G49" s="226"/>
      <c r="H49" s="226"/>
      <c r="I49" s="226"/>
      <c r="J49" s="226"/>
      <c r="K49" s="226"/>
      <c r="L49" s="226"/>
    </row>
    <row r="50" spans="2:12">
      <c r="B50" s="11" t="s">
        <v>1441</v>
      </c>
      <c r="C50" s="11">
        <f ca="1">COUNTIFS(EXPEDIENTES!G:G,B50,EXPEDIENTES!O:O,"SI")</f>
        <v>71</v>
      </c>
      <c r="F50" s="226"/>
      <c r="G50" s="226"/>
      <c r="H50" s="226"/>
      <c r="I50" s="226"/>
      <c r="J50" s="226"/>
      <c r="K50" s="226"/>
      <c r="L50" s="226"/>
    </row>
    <row r="51" spans="2:12">
      <c r="B51" s="11" t="s">
        <v>1442</v>
      </c>
      <c r="C51" s="11">
        <f ca="1">COUNTIFS(EXPEDIENTES!G:G,B51,EXPEDIENTES!O:O,"SI")</f>
        <v>72</v>
      </c>
      <c r="F51" s="226"/>
      <c r="G51" s="226"/>
      <c r="H51" s="226"/>
      <c r="I51" s="226"/>
      <c r="J51" s="226"/>
      <c r="K51" s="226"/>
      <c r="L51" s="226"/>
    </row>
    <row r="52" spans="2:12">
      <c r="B52" s="79" t="s">
        <v>2287</v>
      </c>
      <c r="C52" s="11">
        <f ca="1">H43+'Exp por Encargado - Alvaro'!C29</f>
        <v>48</v>
      </c>
      <c r="F52" s="226"/>
      <c r="G52" s="226"/>
      <c r="H52" s="226"/>
      <c r="I52" s="226"/>
      <c r="J52" s="226"/>
      <c r="K52" s="226"/>
      <c r="L52" s="226"/>
    </row>
    <row r="53" spans="2:12" ht="15.75">
      <c r="B53" s="277" t="s">
        <v>371</v>
      </c>
      <c r="C53" s="28">
        <f ca="1">SUM(C44:C52)</f>
        <v>777</v>
      </c>
      <c r="F53" s="226"/>
      <c r="G53" s="226"/>
      <c r="H53" s="226"/>
      <c r="I53" s="226"/>
      <c r="J53" s="226"/>
      <c r="K53" s="226"/>
      <c r="L53" s="226"/>
    </row>
    <row r="54" spans="2:12">
      <c r="F54" s="226"/>
      <c r="G54" s="226"/>
      <c r="H54" s="226"/>
      <c r="I54" s="226"/>
      <c r="J54" s="226"/>
      <c r="K54" s="226"/>
      <c r="L54" s="226"/>
    </row>
    <row r="55" spans="2:12">
      <c r="F55" s="226"/>
      <c r="G55" s="226"/>
      <c r="H55" s="226"/>
      <c r="I55" s="226"/>
      <c r="J55" s="226"/>
      <c r="K55" s="226"/>
      <c r="L55" s="226"/>
    </row>
    <row r="56" spans="2:12">
      <c r="F56" s="226"/>
      <c r="G56" s="226"/>
      <c r="H56" s="226"/>
      <c r="I56" s="226"/>
      <c r="J56" s="226"/>
      <c r="K56" s="226"/>
      <c r="L56" s="226"/>
    </row>
    <row r="57" spans="2:12">
      <c r="F57" s="226"/>
      <c r="G57" s="226"/>
      <c r="H57" s="226"/>
      <c r="I57" s="226"/>
      <c r="J57" s="226"/>
      <c r="K57" s="226"/>
      <c r="L57" s="226"/>
    </row>
    <row r="58" spans="2:12">
      <c r="F58" s="226"/>
      <c r="G58" s="226"/>
      <c r="H58" s="226"/>
      <c r="I58" s="226"/>
      <c r="J58" s="226"/>
      <c r="K58" s="226"/>
      <c r="L58" s="226"/>
    </row>
    <row r="59" spans="2:12">
      <c r="F59" s="226"/>
      <c r="G59" s="226"/>
      <c r="H59" s="226"/>
      <c r="I59" s="226"/>
      <c r="J59" s="226"/>
      <c r="K59" s="226"/>
      <c r="L59" s="226"/>
    </row>
    <row r="60" spans="2:12">
      <c r="F60" s="226"/>
      <c r="G60" s="226"/>
      <c r="H60" s="226"/>
      <c r="I60" s="226"/>
      <c r="J60" s="226"/>
      <c r="K60" s="226"/>
      <c r="L60" s="226"/>
    </row>
    <row r="61" spans="2:12">
      <c r="F61" s="226"/>
      <c r="G61" s="226"/>
      <c r="H61" s="226"/>
      <c r="I61" s="226"/>
      <c r="J61" s="226"/>
      <c r="K61" s="226"/>
      <c r="L61" s="226"/>
    </row>
    <row r="62" spans="2:12">
      <c r="F62" s="226"/>
      <c r="G62" s="226"/>
      <c r="H62" s="226"/>
      <c r="I62" s="226"/>
      <c r="J62" s="226"/>
      <c r="K62" s="226"/>
      <c r="L62" s="226"/>
    </row>
    <row r="63" spans="2:12">
      <c r="F63" s="226"/>
      <c r="G63" s="226"/>
      <c r="H63" s="226"/>
      <c r="I63" s="226"/>
      <c r="J63" s="226"/>
      <c r="K63" s="226"/>
      <c r="L63" s="226"/>
    </row>
    <row r="64" spans="2: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1932</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1623</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1687</v>
      </c>
      <c r="B14" s="96">
        <v>14</v>
      </c>
      <c r="C14" s="10" t="s">
        <v>1660</v>
      </c>
      <c r="E14" s="10" t="s">
        <v>1493</v>
      </c>
    </row>
    <row r="15" spans="1:5" ht="20.100000000000001" customHeight="1">
      <c r="A15" s="111" t="s">
        <v>2948</v>
      </c>
      <c r="B15" s="10" t="s">
        <v>2949</v>
      </c>
      <c r="C15" s="10" t="s">
        <v>1688</v>
      </c>
      <c r="E15" s="10" t="s">
        <v>1689</v>
      </c>
    </row>
    <row r="16" spans="1:5" ht="20.100000000000001" customHeight="1">
      <c r="A16" s="111" t="s">
        <v>1730</v>
      </c>
      <c r="B16" s="10" t="s">
        <v>2950</v>
      </c>
    </row>
    <row r="17" spans="1:2" ht="20.100000000000001" customHeight="1">
      <c r="A17" s="111" t="s">
        <v>2951</v>
      </c>
      <c r="B17" s="10" t="s">
        <v>2952</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20"/>
  <sheetViews>
    <sheetView workbookViewId="0">
      <selection activeCell="B24" sqref="B24"/>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2773</v>
      </c>
      <c r="I1" s="324" t="s">
        <v>3047</v>
      </c>
      <c r="J1" s="3" t="s">
        <v>43</v>
      </c>
    </row>
    <row r="2" spans="1:10" ht="24.95" customHeight="1">
      <c r="A2" s="3" t="s">
        <v>34</v>
      </c>
      <c r="E2" s="3" t="s">
        <v>1659</v>
      </c>
      <c r="I2" s="324" t="s">
        <v>3046</v>
      </c>
      <c r="J2" s="3" t="s">
        <v>29</v>
      </c>
    </row>
    <row r="3" spans="1:10" ht="24.95" customHeight="1">
      <c r="A3" s="3" t="s">
        <v>29</v>
      </c>
      <c r="E3" s="3" t="s">
        <v>1661</v>
      </c>
      <c r="I3" s="324" t="s">
        <v>3045</v>
      </c>
      <c r="J3" s="3" t="s">
        <v>283</v>
      </c>
    </row>
    <row r="4" spans="1:10" ht="24.95" customHeight="1">
      <c r="A4" s="3" t="s">
        <v>283</v>
      </c>
      <c r="E4" s="3" t="s">
        <v>1740</v>
      </c>
      <c r="I4" s="324" t="s">
        <v>3044</v>
      </c>
      <c r="J4" s="3" t="s">
        <v>1440</v>
      </c>
    </row>
    <row r="5" spans="1:10" ht="24.95" customHeight="1">
      <c r="A5" s="3" t="s">
        <v>32</v>
      </c>
      <c r="E5" s="3" t="s">
        <v>2286</v>
      </c>
      <c r="I5" s="324" t="s">
        <v>3043</v>
      </c>
      <c r="J5" s="3" t="s">
        <v>568</v>
      </c>
    </row>
    <row r="6" spans="1:10" ht="24.95" customHeight="1">
      <c r="A6" s="3" t="s">
        <v>1440</v>
      </c>
      <c r="B6" s="10" t="s">
        <v>1381</v>
      </c>
      <c r="I6" s="324" t="s">
        <v>3048</v>
      </c>
      <c r="J6" s="3" t="s">
        <v>1441</v>
      </c>
    </row>
    <row r="7" spans="1:10" ht="24.95" customHeight="1">
      <c r="A7" s="1" t="s">
        <v>359</v>
      </c>
      <c r="I7" s="324" t="s">
        <v>3049</v>
      </c>
      <c r="J7" s="3" t="s">
        <v>1442</v>
      </c>
    </row>
    <row r="8" spans="1:10" ht="24.95" customHeight="1">
      <c r="A8" s="3" t="s">
        <v>568</v>
      </c>
      <c r="I8" s="324" t="s">
        <v>3050</v>
      </c>
      <c r="J8" s="3" t="s">
        <v>2770</v>
      </c>
    </row>
    <row r="9" spans="1:10" ht="24.95" customHeight="1">
      <c r="A9" s="3" t="s">
        <v>1441</v>
      </c>
      <c r="B9" s="10" t="s">
        <v>1379</v>
      </c>
      <c r="C9" s="10" t="s">
        <v>1387</v>
      </c>
      <c r="I9" s="324" t="s">
        <v>3051</v>
      </c>
      <c r="J9" s="3" t="s">
        <v>2771</v>
      </c>
    </row>
    <row r="10" spans="1:10" ht="24.95" customHeight="1">
      <c r="A10" s="3" t="s">
        <v>1442</v>
      </c>
      <c r="B10" s="10" t="s">
        <v>1380</v>
      </c>
      <c r="C10" s="10" t="s">
        <v>1388</v>
      </c>
      <c r="I10" s="324" t="s">
        <v>3052</v>
      </c>
      <c r="J10" s="3" t="s">
        <v>2772</v>
      </c>
    </row>
    <row r="11" spans="1:10" ht="24.95" customHeight="1">
      <c r="A11" s="3" t="s">
        <v>2770</v>
      </c>
      <c r="I11" s="324" t="s">
        <v>3053</v>
      </c>
      <c r="J11" s="276" t="s">
        <v>2785</v>
      </c>
    </row>
    <row r="12" spans="1:10" ht="24.95" customHeight="1">
      <c r="A12" s="3" t="s">
        <v>2771</v>
      </c>
      <c r="I12" s="324" t="s">
        <v>3054</v>
      </c>
      <c r="J12" s="276" t="s">
        <v>2835</v>
      </c>
    </row>
    <row r="13" spans="1:10" ht="24.95" customHeight="1">
      <c r="A13" s="3" t="s">
        <v>2772</v>
      </c>
    </row>
    <row r="14" spans="1:10">
      <c r="A14" s="276" t="s">
        <v>2785</v>
      </c>
    </row>
    <row r="15" spans="1:10" ht="24.95" customHeight="1">
      <c r="A15" s="276" t="s">
        <v>2835</v>
      </c>
    </row>
    <row r="16" spans="1:10">
      <c r="A16" s="1" t="s">
        <v>3362</v>
      </c>
    </row>
    <row r="17" spans="1:1">
      <c r="A17" s="1" t="s">
        <v>3363</v>
      </c>
    </row>
    <row r="18" spans="1:1">
      <c r="A18" s="276" t="s">
        <v>3690</v>
      </c>
    </row>
    <row r="19" spans="1:1">
      <c r="A19" s="276" t="s">
        <v>3850</v>
      </c>
    </row>
    <row r="20" spans="1:1">
      <c r="A20" s="276" t="s">
        <v>3932</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workbookViewId="0">
      <selection activeCell="A18" sqref="A18"/>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2000</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2235</v>
      </c>
    </row>
    <row r="15" spans="1:1" ht="20.100000000000001" customHeight="1">
      <c r="A15" s="44" t="s">
        <v>1413</v>
      </c>
    </row>
    <row r="16" spans="1:1" ht="20.100000000000001" customHeight="1">
      <c r="A16" s="44" t="s">
        <v>3689</v>
      </c>
    </row>
    <row r="17" spans="1:2" ht="20.100000000000001" customHeight="1">
      <c r="A17" s="44" t="s">
        <v>1700</v>
      </c>
    </row>
    <row r="18" spans="1:2" ht="20.100000000000001" customHeight="1">
      <c r="A18" s="17" t="s">
        <v>4135</v>
      </c>
    </row>
    <row r="19" spans="1:2" ht="20.100000000000001" customHeight="1">
      <c r="A19" s="17" t="s">
        <v>829</v>
      </c>
    </row>
    <row r="20" spans="1:2" ht="20.100000000000001" customHeight="1">
      <c r="A20" s="44" t="s">
        <v>2090</v>
      </c>
      <c r="B20" s="10" t="s">
        <v>2091</v>
      </c>
    </row>
    <row r="21" spans="1:2" ht="20.100000000000001" customHeight="1">
      <c r="A21" s="44" t="s">
        <v>788</v>
      </c>
    </row>
    <row r="22" spans="1:2" ht="20.100000000000001" customHeight="1">
      <c r="A22" s="43" t="s">
        <v>1179</v>
      </c>
    </row>
    <row r="23" spans="1:2" ht="20.100000000000001" customHeight="1">
      <c r="A23" s="16" t="s">
        <v>789</v>
      </c>
    </row>
    <row r="24" spans="1:2" ht="20.100000000000001" customHeight="1">
      <c r="A24" s="17" t="s">
        <v>792</v>
      </c>
    </row>
    <row r="25" spans="1:2" ht="20.100000000000001" customHeight="1">
      <c r="A25" s="17" t="s">
        <v>790</v>
      </c>
    </row>
    <row r="26" spans="1:2" ht="20.100000000000001" customHeight="1">
      <c r="A26" s="16" t="s">
        <v>791</v>
      </c>
    </row>
    <row r="27" spans="1:2" ht="20.100000000000001" customHeight="1">
      <c r="A27" s="44" t="s">
        <v>1501</v>
      </c>
    </row>
    <row r="28" spans="1:2" ht="20.100000000000001" customHeight="1">
      <c r="A28" s="16" t="s">
        <v>793</v>
      </c>
    </row>
    <row r="29" spans="1:2" ht="20.100000000000001" customHeight="1">
      <c r="A29" s="16" t="s">
        <v>794</v>
      </c>
    </row>
    <row r="30" spans="1:2" ht="20.100000000000001" customHeight="1">
      <c r="A30" s="44" t="s">
        <v>1452</v>
      </c>
    </row>
    <row r="31" spans="1:2" ht="20.100000000000001" customHeight="1">
      <c r="A31" s="17" t="s">
        <v>1148</v>
      </c>
    </row>
    <row r="32" spans="1:2" ht="20.100000000000001" customHeight="1">
      <c r="A32" s="17" t="s">
        <v>803</v>
      </c>
    </row>
    <row r="33" spans="1:2" ht="20.100000000000001" customHeight="1">
      <c r="A33" s="17" t="s">
        <v>2092</v>
      </c>
      <c r="B33" s="10" t="s">
        <v>2093</v>
      </c>
    </row>
    <row r="34" spans="1:2" ht="20.100000000000001" customHeight="1">
      <c r="A34" s="17" t="s">
        <v>795</v>
      </c>
    </row>
    <row r="35" spans="1:2" ht="20.100000000000001" customHeight="1">
      <c r="A35" s="17" t="s">
        <v>796</v>
      </c>
    </row>
    <row r="36" spans="1:2" ht="20.100000000000001" customHeight="1">
      <c r="A36" s="17" t="s">
        <v>802</v>
      </c>
    </row>
    <row r="37" spans="1:2" ht="20.100000000000001" customHeight="1">
      <c r="A37" s="17" t="s">
        <v>801</v>
      </c>
    </row>
    <row r="38" spans="1:2" ht="20.100000000000001" customHeight="1">
      <c r="A38" s="17" t="s">
        <v>2088</v>
      </c>
      <c r="B38" s="10" t="s">
        <v>2089</v>
      </c>
    </row>
    <row r="39" spans="1:2" ht="20.100000000000001" customHeight="1">
      <c r="A39" s="44" t="s">
        <v>810</v>
      </c>
    </row>
    <row r="40" spans="1:2" ht="20.100000000000001" customHeight="1">
      <c r="A40" s="17" t="s">
        <v>798</v>
      </c>
    </row>
    <row r="41" spans="1:2" ht="20.100000000000001" customHeight="1">
      <c r="A41" s="17" t="s">
        <v>799</v>
      </c>
    </row>
    <row r="42" spans="1:2" ht="20.100000000000001" customHeight="1">
      <c r="A42" s="17" t="s">
        <v>800</v>
      </c>
    </row>
    <row r="43" spans="1:2" ht="20.100000000000001" customHeight="1">
      <c r="A43" s="44" t="s">
        <v>1833</v>
      </c>
    </row>
    <row r="44" spans="1:2" ht="20.100000000000001" customHeight="1">
      <c r="A44" s="17" t="s">
        <v>688</v>
      </c>
    </row>
    <row r="45" spans="1:2" ht="20.100000000000001" customHeight="1">
      <c r="A45" s="44" t="s">
        <v>2086</v>
      </c>
      <c r="B45" s="10" t="s">
        <v>2087</v>
      </c>
    </row>
    <row r="46" spans="1:2" ht="20.100000000000001" customHeight="1">
      <c r="A46" s="44" t="s">
        <v>814</v>
      </c>
    </row>
    <row r="47" spans="1:2" ht="20.100000000000001" customHeight="1">
      <c r="A47" s="44" t="s">
        <v>1971</v>
      </c>
    </row>
    <row r="48" spans="1:2" ht="20.100000000000001" customHeight="1">
      <c r="A48" s="44" t="s">
        <v>1654</v>
      </c>
    </row>
    <row r="49" spans="1:1" ht="20.100000000000001" customHeight="1">
      <c r="A49" s="17" t="s">
        <v>1070</v>
      </c>
    </row>
    <row r="50" spans="1:1" ht="20.100000000000001" customHeight="1">
      <c r="A50" s="43" t="s">
        <v>569</v>
      </c>
    </row>
    <row r="51" spans="1:1" ht="20.100000000000001" customHeight="1">
      <c r="A51" s="44" t="s">
        <v>582</v>
      </c>
    </row>
    <row r="52" spans="1:1">
      <c r="A52" s="44" t="s">
        <v>2108</v>
      </c>
    </row>
    <row r="53" spans="1:1">
      <c r="A53" s="44" t="s">
        <v>2428</v>
      </c>
    </row>
    <row r="54" spans="1:1">
      <c r="A54" s="44" t="s">
        <v>2734</v>
      </c>
    </row>
    <row r="55" spans="1:1">
      <c r="A55" s="44" t="s">
        <v>3017</v>
      </c>
    </row>
    <row r="56" spans="1:1">
      <c r="A56" s="43" t="s">
        <v>3068</v>
      </c>
    </row>
    <row r="57" spans="1:1">
      <c r="A57" s="340" t="s">
        <v>3119</v>
      </c>
    </row>
    <row r="58" spans="1:1">
      <c r="A58" s="44" t="s">
        <v>3980</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85"/>
  <sheetViews>
    <sheetView topLeftCell="A170" workbookViewId="0">
      <selection activeCell="A185" sqref="A185"/>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2047</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5" t="s">
        <v>4154</v>
      </c>
    </row>
    <row r="9" spans="1:1" ht="20.100000000000001" customHeight="1">
      <c r="A9" s="64" t="s">
        <v>1999</v>
      </c>
    </row>
    <row r="10" spans="1:1" ht="20.100000000000001" customHeight="1">
      <c r="A10" s="64" t="s">
        <v>695</v>
      </c>
    </row>
    <row r="11" spans="1:1" ht="20.100000000000001" customHeight="1">
      <c r="A11" s="65" t="s">
        <v>1968</v>
      </c>
    </row>
    <row r="12" spans="1:1" ht="20.100000000000001" customHeight="1">
      <c r="A12" s="64" t="s">
        <v>3813</v>
      </c>
    </row>
    <row r="13" spans="1:1" ht="20.100000000000001" customHeight="1">
      <c r="A13" s="64" t="s">
        <v>1992</v>
      </c>
    </row>
    <row r="14" spans="1:1" ht="20.100000000000001" customHeight="1">
      <c r="A14" s="64" t="s">
        <v>1874</v>
      </c>
    </row>
    <row r="15" spans="1:1" ht="20.100000000000001" customHeight="1">
      <c r="A15" s="65" t="s">
        <v>1964</v>
      </c>
    </row>
    <row r="16" spans="1:1" ht="20.100000000000001" customHeight="1">
      <c r="A16" s="64" t="s">
        <v>985</v>
      </c>
    </row>
    <row r="17" spans="1:1" ht="20.100000000000001" customHeight="1">
      <c r="A17" s="64" t="s">
        <v>2123</v>
      </c>
    </row>
    <row r="18" spans="1:1" ht="20.100000000000001" customHeight="1">
      <c r="A18" s="64" t="s">
        <v>2217</v>
      </c>
    </row>
    <row r="19" spans="1:1" ht="20.100000000000001" customHeight="1">
      <c r="A19" s="65" t="s">
        <v>725</v>
      </c>
    </row>
    <row r="20" spans="1:1" ht="20.100000000000001" customHeight="1">
      <c r="A20" s="65" t="s">
        <v>723</v>
      </c>
    </row>
    <row r="21" spans="1:1" ht="20.100000000000001" customHeight="1">
      <c r="A21" s="65" t="s">
        <v>1303</v>
      </c>
    </row>
    <row r="22" spans="1:1" ht="20.100000000000001" customHeight="1">
      <c r="A22" s="44" t="s">
        <v>767</v>
      </c>
    </row>
    <row r="23" spans="1:1" ht="20.100000000000001" customHeight="1">
      <c r="A23" s="65" t="s">
        <v>1031</v>
      </c>
    </row>
    <row r="24" spans="1:1" ht="20.100000000000001" customHeight="1">
      <c r="A24" s="65" t="s">
        <v>887</v>
      </c>
    </row>
    <row r="25" spans="1:1" ht="20.100000000000001" customHeight="1">
      <c r="A25" s="65" t="s">
        <v>1032</v>
      </c>
    </row>
    <row r="26" spans="1:1" ht="20.100000000000001" customHeight="1">
      <c r="A26" s="65" t="s">
        <v>1087</v>
      </c>
    </row>
    <row r="27" spans="1:1" ht="20.100000000000001" customHeight="1">
      <c r="A27" s="64" t="s">
        <v>711</v>
      </c>
    </row>
    <row r="28" spans="1:1" ht="20.100000000000001" customHeight="1">
      <c r="A28" s="64" t="s">
        <v>713</v>
      </c>
    </row>
    <row r="29" spans="1:1" ht="20.100000000000001" customHeight="1">
      <c r="A29" s="64" t="s">
        <v>712</v>
      </c>
    </row>
    <row r="30" spans="1:1" ht="20.100000000000001" customHeight="1">
      <c r="A30" s="64" t="s">
        <v>1178</v>
      </c>
    </row>
    <row r="31" spans="1:1" ht="20.100000000000001" customHeight="1">
      <c r="A31" s="65" t="s">
        <v>1333</v>
      </c>
    </row>
    <row r="32" spans="1:1" ht="20.100000000000001" customHeight="1">
      <c r="A32" s="65" t="s">
        <v>1289</v>
      </c>
    </row>
    <row r="33" spans="1:1" ht="20.100000000000001" customHeight="1">
      <c r="A33" s="64" t="s">
        <v>692</v>
      </c>
    </row>
    <row r="34" spans="1:1" ht="20.100000000000001" customHeight="1">
      <c r="A34" s="64" t="s">
        <v>696</v>
      </c>
    </row>
    <row r="35" spans="1:1" ht="20.100000000000001" customHeight="1">
      <c r="A35" s="10" t="s">
        <v>1827</v>
      </c>
    </row>
    <row r="36" spans="1:1" ht="20.100000000000001" customHeight="1">
      <c r="A36" s="65" t="s">
        <v>1029</v>
      </c>
    </row>
    <row r="37" spans="1:1" ht="20.100000000000001" customHeight="1">
      <c r="A37" s="64" t="s">
        <v>684</v>
      </c>
    </row>
    <row r="38" spans="1:1" ht="20.100000000000001" customHeight="1">
      <c r="A38" s="65" t="s">
        <v>2054</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1852</v>
      </c>
    </row>
    <row r="43" spans="1:1" ht="20.100000000000001" customHeight="1">
      <c r="A43" s="65" t="s">
        <v>1692</v>
      </c>
    </row>
    <row r="44" spans="1:1" ht="20.100000000000001" customHeight="1">
      <c r="A44" s="42" t="s">
        <v>2078</v>
      </c>
    </row>
    <row r="45" spans="1:1" ht="20.100000000000001" customHeight="1">
      <c r="A45" s="65" t="s">
        <v>1027</v>
      </c>
    </row>
    <row r="46" spans="1:1" ht="20.100000000000001" customHeight="1">
      <c r="A46" s="65" t="s">
        <v>1984</v>
      </c>
    </row>
    <row r="47" spans="1:1" ht="20.100000000000001" customHeight="1">
      <c r="A47" s="42" t="s">
        <v>2119</v>
      </c>
    </row>
    <row r="48" spans="1:1" ht="20.100000000000001" customHeight="1">
      <c r="A48" s="64" t="s">
        <v>697</v>
      </c>
    </row>
    <row r="49" spans="1:1" ht="20.100000000000001" customHeight="1">
      <c r="A49" s="65" t="s">
        <v>697</v>
      </c>
    </row>
    <row r="50" spans="1:1" ht="20.100000000000001" customHeight="1">
      <c r="A50" s="65" t="s">
        <v>2095</v>
      </c>
    </row>
    <row r="51" spans="1:1" ht="20.100000000000001" customHeight="1">
      <c r="A51" s="64" t="s">
        <v>698</v>
      </c>
    </row>
    <row r="52" spans="1:1" ht="20.100000000000001" customHeight="1">
      <c r="A52" s="65" t="s">
        <v>1822</v>
      </c>
    </row>
    <row r="53" spans="1:1" ht="20.100000000000001" customHeight="1">
      <c r="A53" s="65" t="s">
        <v>3799</v>
      </c>
    </row>
    <row r="54" spans="1:1" ht="20.100000000000001" customHeight="1">
      <c r="A54" s="64" t="s">
        <v>699</v>
      </c>
    </row>
    <row r="55" spans="1:1" ht="20.100000000000001" customHeight="1">
      <c r="A55" s="65" t="s">
        <v>1466</v>
      </c>
    </row>
    <row r="56" spans="1:1" ht="20.100000000000001" customHeight="1">
      <c r="A56" s="65" t="s">
        <v>1996</v>
      </c>
    </row>
    <row r="57" spans="1:1" ht="20.100000000000001" customHeight="1">
      <c r="A57" s="65" t="s">
        <v>1691</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2034</v>
      </c>
    </row>
    <row r="65" spans="1:1" ht="20.100000000000001" customHeight="1">
      <c r="A65" s="64" t="s">
        <v>701</v>
      </c>
    </row>
    <row r="66" spans="1:1" ht="20.100000000000001" customHeight="1">
      <c r="A66" s="65" t="s">
        <v>2002</v>
      </c>
    </row>
    <row r="67" spans="1:1" ht="20.100000000000001" customHeight="1">
      <c r="A67" s="65" t="s">
        <v>1306</v>
      </c>
    </row>
    <row r="68" spans="1:1" ht="20.100000000000001" customHeight="1">
      <c r="A68" s="64" t="s">
        <v>782</v>
      </c>
    </row>
    <row r="69" spans="1:1" ht="20.100000000000001" customHeight="1">
      <c r="A69" s="65" t="s">
        <v>1885</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1989</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1709</v>
      </c>
    </row>
    <row r="81" spans="1:1" ht="20.100000000000001" customHeight="1">
      <c r="A81" s="42" t="s">
        <v>1761</v>
      </c>
    </row>
    <row r="82" spans="1:1" ht="20.100000000000001" customHeight="1">
      <c r="A82" s="65" t="s">
        <v>1645</v>
      </c>
    </row>
    <row r="83" spans="1:1" ht="20.100000000000001" customHeight="1">
      <c r="A83" s="65" t="s">
        <v>1385</v>
      </c>
    </row>
    <row r="84" spans="1:1" ht="20.100000000000001" customHeight="1">
      <c r="A84" s="65" t="s">
        <v>2101</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2030</v>
      </c>
    </row>
    <row r="91" spans="1:1" ht="20.100000000000001" customHeight="1">
      <c r="A91" s="65" t="s">
        <v>1646</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2021</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2140</v>
      </c>
    </row>
    <row r="107" spans="1:1">
      <c r="A107" s="65" t="s">
        <v>2205</v>
      </c>
    </row>
    <row r="108" spans="1:1">
      <c r="A108" s="65" t="s">
        <v>2236</v>
      </c>
    </row>
    <row r="109" spans="1:1">
      <c r="A109" s="65" t="s">
        <v>2252</v>
      </c>
    </row>
    <row r="110" spans="1:1">
      <c r="A110" s="65" t="s">
        <v>2258</v>
      </c>
    </row>
    <row r="111" spans="1:1">
      <c r="A111" s="65" t="s">
        <v>2263</v>
      </c>
    </row>
    <row r="112" spans="1:1">
      <c r="A112" s="65" t="s">
        <v>2266</v>
      </c>
    </row>
    <row r="113" spans="1:1">
      <c r="A113" s="65" t="s">
        <v>2282</v>
      </c>
    </row>
    <row r="114" spans="1:1">
      <c r="A114" s="65" t="s">
        <v>2284</v>
      </c>
    </row>
    <row r="115" spans="1:1">
      <c r="A115" s="65" t="s">
        <v>2311</v>
      </c>
    </row>
    <row r="116" spans="1:1">
      <c r="A116" s="65" t="s">
        <v>2314</v>
      </c>
    </row>
    <row r="117" spans="1:1">
      <c r="A117" s="65" t="s">
        <v>2321</v>
      </c>
    </row>
    <row r="118" spans="1:1">
      <c r="A118" s="42" t="s">
        <v>2367</v>
      </c>
    </row>
    <row r="119" spans="1:1">
      <c r="A119" s="65" t="s">
        <v>2369</v>
      </c>
    </row>
    <row r="120" spans="1:1">
      <c r="A120" s="65" t="s">
        <v>2384</v>
      </c>
    </row>
    <row r="121" spans="1:1">
      <c r="A121" s="65" t="s">
        <v>2427</v>
      </c>
    </row>
    <row r="122" spans="1:1">
      <c r="A122" s="65" t="s">
        <v>2482</v>
      </c>
    </row>
    <row r="123" spans="1:1">
      <c r="A123" s="65" t="s">
        <v>2565</v>
      </c>
    </row>
    <row r="124" spans="1:1">
      <c r="A124" s="65" t="s">
        <v>2595</v>
      </c>
    </row>
    <row r="125" spans="1:1">
      <c r="A125" s="65" t="s">
        <v>2646</v>
      </c>
    </row>
    <row r="126" spans="1:1">
      <c r="A126" s="65" t="s">
        <v>2662</v>
      </c>
    </row>
    <row r="127" spans="1:1">
      <c r="A127" s="65" t="s">
        <v>2664</v>
      </c>
    </row>
    <row r="128" spans="1:1">
      <c r="A128" s="65" t="s">
        <v>2691</v>
      </c>
    </row>
    <row r="129" spans="1:1">
      <c r="A129" s="65" t="s">
        <v>2698</v>
      </c>
    </row>
    <row r="130" spans="1:1">
      <c r="A130" s="65" t="s">
        <v>2699</v>
      </c>
    </row>
    <row r="131" spans="1:1">
      <c r="A131" s="65" t="s">
        <v>2700</v>
      </c>
    </row>
    <row r="132" spans="1:1">
      <c r="A132" s="65" t="s">
        <v>2731</v>
      </c>
    </row>
    <row r="133" spans="1:1">
      <c r="A133" s="65" t="s">
        <v>2732</v>
      </c>
    </row>
    <row r="134" spans="1:1">
      <c r="A134" s="65" t="s">
        <v>2755</v>
      </c>
    </row>
    <row r="135" spans="1:1">
      <c r="A135" s="65" t="s">
        <v>2765</v>
      </c>
    </row>
    <row r="136" spans="1:1">
      <c r="A136" s="65" t="s">
        <v>2774</v>
      </c>
    </row>
    <row r="137" spans="1:1">
      <c r="A137" s="65" t="s">
        <v>2825</v>
      </c>
    </row>
    <row r="138" spans="1:1">
      <c r="A138" s="65" t="s">
        <v>2883</v>
      </c>
    </row>
    <row r="139" spans="1:1">
      <c r="A139" s="65" t="s">
        <v>2931</v>
      </c>
    </row>
    <row r="140" spans="1:1">
      <c r="A140" s="65" t="s">
        <v>2964</v>
      </c>
    </row>
    <row r="141" spans="1:1">
      <c r="A141" s="65" t="s">
        <v>2988</v>
      </c>
    </row>
    <row r="142" spans="1:1">
      <c r="A142" s="65" t="s">
        <v>3005</v>
      </c>
    </row>
    <row r="143" spans="1:1">
      <c r="A143" s="65" t="s">
        <v>3016</v>
      </c>
    </row>
    <row r="144" spans="1:1">
      <c r="A144" s="65" t="s">
        <v>3020</v>
      </c>
    </row>
    <row r="145" spans="1:1">
      <c r="A145" s="65" t="s">
        <v>3030</v>
      </c>
    </row>
    <row r="146" spans="1:1">
      <c r="A146" s="65" t="s">
        <v>3031</v>
      </c>
    </row>
    <row r="147" spans="1:1">
      <c r="A147" s="42" t="s">
        <v>3061</v>
      </c>
    </row>
    <row r="148" spans="1:1">
      <c r="A148" s="65" t="s">
        <v>3100</v>
      </c>
    </row>
    <row r="149" spans="1:1">
      <c r="A149" s="65" t="s">
        <v>3215</v>
      </c>
    </row>
    <row r="150" spans="1:1">
      <c r="A150" s="65" t="s">
        <v>3216</v>
      </c>
    </row>
    <row r="151" spans="1:1">
      <c r="A151" s="65" t="s">
        <v>3247</v>
      </c>
    </row>
    <row r="152" spans="1:1">
      <c r="A152" s="65" t="s">
        <v>3331</v>
      </c>
    </row>
    <row r="153" spans="1:1">
      <c r="A153" s="65" t="s">
        <v>3339</v>
      </c>
    </row>
    <row r="154" spans="1:1">
      <c r="A154" s="42" t="s">
        <v>3366</v>
      </c>
    </row>
    <row r="155" spans="1:1">
      <c r="A155" s="65" t="s">
        <v>3390</v>
      </c>
    </row>
    <row r="156" spans="1:1">
      <c r="A156" s="65" t="s">
        <v>3425</v>
      </c>
    </row>
    <row r="157" spans="1:1">
      <c r="A157" s="65" t="s">
        <v>3428</v>
      </c>
    </row>
    <row r="158" spans="1:1">
      <c r="A158" s="65" t="s">
        <v>3438</v>
      </c>
    </row>
    <row r="159" spans="1:1">
      <c r="A159" s="65" t="s">
        <v>3460</v>
      </c>
    </row>
    <row r="160" spans="1:1">
      <c r="A160" s="65" t="s">
        <v>3488</v>
      </c>
    </row>
    <row r="161" spans="1:1">
      <c r="A161" s="65" t="s">
        <v>3502</v>
      </c>
    </row>
    <row r="162" spans="1:1">
      <c r="A162" s="65" t="s">
        <v>3616</v>
      </c>
    </row>
    <row r="163" spans="1:1">
      <c r="A163" s="65" t="s">
        <v>3640</v>
      </c>
    </row>
    <row r="164" spans="1:1">
      <c r="A164" s="42" t="s">
        <v>3682</v>
      </c>
    </row>
    <row r="165" spans="1:1">
      <c r="A165" s="65" t="s">
        <v>3720</v>
      </c>
    </row>
    <row r="166" spans="1:1">
      <c r="A166" s="65" t="s">
        <v>3751</v>
      </c>
    </row>
    <row r="167" spans="1:1">
      <c r="A167" s="65" t="s">
        <v>3754</v>
      </c>
    </row>
    <row r="168" spans="1:1">
      <c r="A168" s="65" t="s">
        <v>3760</v>
      </c>
    </row>
    <row r="169" spans="1:1">
      <c r="A169" s="65" t="s">
        <v>3781</v>
      </c>
    </row>
    <row r="170" spans="1:1">
      <c r="A170" s="65" t="s">
        <v>3785</v>
      </c>
    </row>
    <row r="171" spans="1:1">
      <c r="A171" s="65" t="s">
        <v>3786</v>
      </c>
    </row>
    <row r="172" spans="1:1">
      <c r="A172" s="65" t="s">
        <v>3822</v>
      </c>
    </row>
    <row r="173" spans="1:1">
      <c r="A173" s="65" t="s">
        <v>3879</v>
      </c>
    </row>
    <row r="174" spans="1:1">
      <c r="A174" s="380" t="s">
        <v>3897</v>
      </c>
    </row>
    <row r="175" spans="1:1">
      <c r="A175" s="65" t="s">
        <v>3934</v>
      </c>
    </row>
    <row r="176" spans="1:1">
      <c r="A176" s="65" t="s">
        <v>3938</v>
      </c>
    </row>
    <row r="177" spans="1:1">
      <c r="A177" s="65" t="s">
        <v>4036</v>
      </c>
    </row>
    <row r="178" spans="1:1">
      <c r="A178" s="65" t="s">
        <v>4056</v>
      </c>
    </row>
    <row r="179" spans="1:1">
      <c r="A179" s="65" t="s">
        <v>4057</v>
      </c>
    </row>
    <row r="180" spans="1:1">
      <c r="A180" s="65" t="s">
        <v>4112</v>
      </c>
    </row>
    <row r="181" spans="1:1">
      <c r="A181" s="65" t="s">
        <v>4122</v>
      </c>
    </row>
    <row r="182" spans="1:1">
      <c r="A182" s="42" t="s">
        <v>4129</v>
      </c>
    </row>
    <row r="183" spans="1:1">
      <c r="A183" s="65" t="s">
        <v>1860</v>
      </c>
    </row>
    <row r="184" spans="1:1">
      <c r="A184" s="65" t="s">
        <v>4181</v>
      </c>
    </row>
    <row r="185" spans="1:1">
      <c r="A185" s="65" t="s">
        <v>4184</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B17" sqref="B1:B17"/>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1900</v>
      </c>
      <c r="B17" s="61" t="s">
        <v>1900</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30"/>
  <sheetViews>
    <sheetView topLeftCell="A27" zoomScale="85" zoomScaleNormal="85" workbookViewId="0">
      <selection activeCell="K30" sqref="K30"/>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c r="A22" s="357" t="s">
        <v>3001</v>
      </c>
      <c r="B22" s="358" t="s">
        <v>3002</v>
      </c>
      <c r="C22" s="357">
        <v>1</v>
      </c>
      <c r="D22" s="357" t="s">
        <v>29</v>
      </c>
      <c r="E22" s="359">
        <v>45211</v>
      </c>
      <c r="F22" s="359" t="s">
        <v>73</v>
      </c>
      <c r="G22" s="359" t="s">
        <v>33</v>
      </c>
      <c r="H22" s="357">
        <f>IFERROR(VLOOKUP(G22,Jueces!$A$1:$B$11,2,FALSE),"")</f>
        <v>4</v>
      </c>
      <c r="I22" s="357" t="s">
        <v>793</v>
      </c>
      <c r="J22" s="357" t="s">
        <v>711</v>
      </c>
      <c r="K22" s="357" t="s">
        <v>3192</v>
      </c>
      <c r="Z22" s="115"/>
      <c r="AA22" s="115"/>
      <c r="AB22" s="115"/>
      <c r="AC22" s="115"/>
      <c r="AD22" s="115"/>
      <c r="AE22" s="115"/>
      <c r="AF22" s="115"/>
      <c r="AG22" s="115"/>
    </row>
    <row r="23" spans="1:50" ht="89.25">
      <c r="A23" s="357" t="s">
        <v>3036</v>
      </c>
      <c r="B23" s="358" t="s">
        <v>3037</v>
      </c>
      <c r="C23" s="357">
        <v>8</v>
      </c>
      <c r="D23" s="357" t="s">
        <v>2772</v>
      </c>
      <c r="E23" s="359">
        <v>45205</v>
      </c>
      <c r="F23" s="359" t="s">
        <v>73</v>
      </c>
      <c r="G23" s="359" t="s">
        <v>1219</v>
      </c>
      <c r="H23" s="357">
        <f>IFERROR(VLOOKUP(G23,Jueces!$A$1:$B$11,2,FALSE),"")</f>
        <v>1</v>
      </c>
      <c r="I23" s="357" t="s">
        <v>796</v>
      </c>
      <c r="J23" s="357" t="s">
        <v>1087</v>
      </c>
      <c r="K23" s="357" t="s">
        <v>3245</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3299</v>
      </c>
      <c r="B24" s="84" t="s">
        <v>3300</v>
      </c>
      <c r="C24" s="83">
        <v>1</v>
      </c>
      <c r="D24" s="83" t="s">
        <v>2771</v>
      </c>
      <c r="E24" s="85">
        <v>45222</v>
      </c>
      <c r="F24" s="85" t="s">
        <v>1086</v>
      </c>
      <c r="G24" s="85" t="s">
        <v>33</v>
      </c>
      <c r="H24" s="83">
        <f>IFERROR(VLOOKUP(G24,Jueces!$A$1:$B$11,2,FALSE),"")</f>
        <v>4</v>
      </c>
      <c r="I24" s="83" t="s">
        <v>791</v>
      </c>
      <c r="J24" s="83" t="s">
        <v>3331</v>
      </c>
      <c r="K24" s="83" t="s">
        <v>3470</v>
      </c>
      <c r="Z24" s="1"/>
      <c r="AA24" s="1"/>
    </row>
    <row r="25" spans="1:50" s="1" customFormat="1" ht="39.950000000000003" customHeight="1">
      <c r="A25" s="83" t="s">
        <v>2836</v>
      </c>
      <c r="B25" s="84" t="s">
        <v>2922</v>
      </c>
      <c r="C25" s="83">
        <v>1</v>
      </c>
      <c r="D25" s="83"/>
      <c r="E25" s="85"/>
      <c r="F25" s="85"/>
      <c r="G25" s="85"/>
      <c r="H25" s="83" t="str">
        <f>IFERROR(VLOOKUP(G25,Jueces!$A$1:$B$11,2,FALSE),"")</f>
        <v/>
      </c>
      <c r="I25" s="83" t="s">
        <v>813</v>
      </c>
      <c r="J25" s="83" t="s">
        <v>711</v>
      </c>
      <c r="K25" s="83" t="s">
        <v>3579</v>
      </c>
    </row>
    <row r="26" spans="1:50" ht="76.5">
      <c r="A26" s="83" t="s">
        <v>2907</v>
      </c>
      <c r="B26" s="84" t="s">
        <v>2908</v>
      </c>
      <c r="C26" s="83">
        <v>8</v>
      </c>
      <c r="D26" s="83" t="s">
        <v>2770</v>
      </c>
      <c r="E26" s="85"/>
      <c r="F26" s="85"/>
      <c r="G26" s="85" t="s">
        <v>2951</v>
      </c>
      <c r="H26" s="83" t="s">
        <v>1924</v>
      </c>
      <c r="I26" s="83" t="s">
        <v>793</v>
      </c>
      <c r="J26" s="83" t="s">
        <v>2119</v>
      </c>
      <c r="K26" s="83" t="s">
        <v>3197</v>
      </c>
    </row>
    <row r="27" spans="1:50" ht="127.5">
      <c r="A27" s="81" t="s">
        <v>1313</v>
      </c>
      <c r="B27" s="211" t="s">
        <v>3614</v>
      </c>
      <c r="C27" s="81">
        <v>2</v>
      </c>
      <c r="D27" s="81" t="s">
        <v>3363</v>
      </c>
      <c r="E27" s="246">
        <v>45243</v>
      </c>
      <c r="F27" s="246" t="s">
        <v>73</v>
      </c>
      <c r="G27" s="246" t="s">
        <v>78</v>
      </c>
      <c r="H27" s="81">
        <f>IFERROR(VLOOKUP(G27,Jueces!$A$1:$B$11,2,FALSE),"")</f>
        <v>8</v>
      </c>
      <c r="I27" s="81" t="s">
        <v>582</v>
      </c>
      <c r="J27" s="81" t="s">
        <v>712</v>
      </c>
      <c r="K27" s="81" t="s">
        <v>3953</v>
      </c>
    </row>
    <row r="28" spans="1:50" s="1" customFormat="1" ht="39.950000000000003" customHeight="1">
      <c r="A28" s="262" t="s">
        <v>3915</v>
      </c>
      <c r="B28" s="263" t="s">
        <v>3937</v>
      </c>
      <c r="C28" s="262">
        <v>3</v>
      </c>
      <c r="D28" s="262" t="s">
        <v>3362</v>
      </c>
      <c r="E28" s="401">
        <v>45257</v>
      </c>
      <c r="F28" s="401" t="s">
        <v>1086</v>
      </c>
      <c r="G28" s="401" t="s">
        <v>1224</v>
      </c>
      <c r="H28" s="50" t="s">
        <v>4098</v>
      </c>
      <c r="I28" s="361"/>
      <c r="J28" s="361"/>
      <c r="K28" s="262" t="s">
        <v>4044</v>
      </c>
      <c r="L28" s="117"/>
      <c r="M28" s="398"/>
      <c r="N28" s="399"/>
      <c r="O28" s="117"/>
      <c r="P28" s="117"/>
      <c r="Q28" s="117"/>
      <c r="R28" s="117"/>
      <c r="S28" s="117"/>
      <c r="T28" s="118"/>
      <c r="U28" s="118"/>
      <c r="V28" s="117"/>
      <c r="W28" s="117"/>
      <c r="X28" s="117"/>
      <c r="Y28" s="117"/>
      <c r="Z28" s="117"/>
      <c r="AA28" s="400"/>
      <c r="AB28" s="117"/>
      <c r="AC28" s="119"/>
    </row>
    <row r="29" spans="1:50" s="1" customFormat="1" ht="39.950000000000003" customHeight="1">
      <c r="A29" s="262" t="s">
        <v>3150</v>
      </c>
      <c r="B29" s="263" t="s">
        <v>3213</v>
      </c>
      <c r="C29" s="262">
        <v>1</v>
      </c>
      <c r="D29" s="262" t="s">
        <v>1440</v>
      </c>
      <c r="E29" s="401">
        <v>45245</v>
      </c>
      <c r="F29" s="401" t="s">
        <v>73</v>
      </c>
      <c r="G29" s="401" t="s">
        <v>1220</v>
      </c>
      <c r="H29" s="262" t="s">
        <v>1924</v>
      </c>
      <c r="I29" s="262" t="s">
        <v>789</v>
      </c>
      <c r="J29" s="262" t="s">
        <v>712</v>
      </c>
      <c r="K29" s="262" t="s">
        <v>4114</v>
      </c>
      <c r="L29" s="119"/>
      <c r="M29" s="119"/>
      <c r="N29" s="119"/>
      <c r="O29" s="117"/>
      <c r="P29" s="117"/>
      <c r="Q29" s="117"/>
      <c r="R29" s="117"/>
      <c r="S29" s="117"/>
      <c r="T29" s="118"/>
      <c r="U29" s="118"/>
      <c r="V29" s="117"/>
      <c r="W29" s="117"/>
      <c r="X29" s="117"/>
      <c r="Y29" s="117"/>
      <c r="Z29" s="117"/>
      <c r="AA29" s="400"/>
      <c r="AB29" s="117"/>
      <c r="AC29" s="119"/>
      <c r="AD29" s="8"/>
      <c r="AE29" s="8"/>
      <c r="AF29" s="8"/>
      <c r="AG29" s="8"/>
      <c r="AH29" s="8"/>
    </row>
    <row r="30" spans="1:50" ht="102">
      <c r="A30" s="83" t="s">
        <v>3784</v>
      </c>
      <c r="B30" s="84" t="s">
        <v>3800</v>
      </c>
      <c r="C30" s="83">
        <v>6</v>
      </c>
      <c r="D30" s="83" t="s">
        <v>1442</v>
      </c>
      <c r="E30" s="85">
        <v>45245</v>
      </c>
      <c r="F30" s="85" t="s">
        <v>73</v>
      </c>
      <c r="G30" s="85" t="s">
        <v>2951</v>
      </c>
      <c r="H30" s="83" t="s">
        <v>3835</v>
      </c>
      <c r="I30" s="83" t="s">
        <v>2092</v>
      </c>
      <c r="J30" s="369" t="s">
        <v>3785</v>
      </c>
      <c r="K30" s="83" t="s">
        <v>4117</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7">
    <dataValidation type="list" allowBlank="1" showInputMessage="1" showErrorMessage="1" sqref="G27:G30">
      <formula1>Jueces!$A$1:$A$20</formula1>
    </dataValidation>
    <dataValidation type="list" allowBlank="1" showInputMessage="1" showErrorMessage="1" sqref="D27:D30">
      <formula1>Internos!$A$1:$A$25</formula1>
    </dataValidation>
    <dataValidation type="list" allowBlank="1" showInputMessage="1" showErrorMessage="1" sqref="G3 G5:G10">
      <formula1>"Dr. Pastrana, Dr. Colombo, Dr. Rodriguez Pipino, Dra. Puertas"</formula1>
    </dataValidation>
    <dataValidation type="list" allowBlank="1" showInputMessage="1" showErrorMessage="1" sqref="J27 M28 J29:J30">
      <formula1>defensores!$A$1:$A$200</formula1>
    </dataValidation>
    <dataValidation type="list" allowBlank="1" showInputMessage="1" showErrorMessage="1" sqref="I27 I29:I30 L28">
      <formula1>'fiscalias penales'!$A$1:$A$64</formula1>
    </dataValidation>
    <dataValidation type="list" allowBlank="1" showInputMessage="1" showErrorMessage="1" sqref="Q28:Q29">
      <formula1>Resultados!$A$1:$A$30</formula1>
    </dataValidation>
    <dataValidation type="list" allowBlank="1" showInputMessage="1" showErrorMessage="1" sqref="R28">
      <formula1>Resultados!$B$1:$B$30</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49" t="s">
        <v>732</v>
      </c>
      <c r="I1" s="449"/>
      <c r="J1" s="449"/>
      <c r="K1" s="449"/>
      <c r="L1" s="449"/>
      <c r="M1" s="449"/>
      <c r="N1" s="449"/>
      <c r="O1" s="449"/>
      <c r="P1" s="449"/>
      <c r="Q1" s="449"/>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45246</v>
      </c>
    </row>
    <row r="2" spans="2:3" ht="24.95" customHeight="1">
      <c r="B2" s="448" t="s">
        <v>393</v>
      </c>
      <c r="C2" s="448"/>
    </row>
    <row r="3" spans="2:3" ht="24.95" customHeight="1">
      <c r="B3" s="13" t="s">
        <v>3</v>
      </c>
      <c r="C3" s="13" t="s">
        <v>362</v>
      </c>
    </row>
    <row r="4" spans="2:3" ht="24.95" customHeight="1">
      <c r="B4" s="11" t="s">
        <v>43</v>
      </c>
      <c r="C4" s="11">
        <f ca="1">COUNTIFS(EXPEDIENTES!G:G,B4,EXPEDIENTES!O:O,"NO")</f>
        <v>3</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6</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6</v>
      </c>
    </row>
    <row r="11" spans="2:3" ht="24.95" customHeight="1">
      <c r="B11" s="11" t="s">
        <v>628</v>
      </c>
      <c r="C11" s="11"/>
    </row>
    <row r="12" spans="2:3" ht="24.95" customHeight="1">
      <c r="B12" s="25" t="s">
        <v>372</v>
      </c>
      <c r="C12" s="28">
        <f ca="1">SUM(C4:C11)</f>
        <v>15</v>
      </c>
    </row>
    <row r="13" spans="2:3" ht="24.95" customHeight="1">
      <c r="B13" s="14"/>
      <c r="C13" s="14"/>
    </row>
    <row r="14" spans="2:3" ht="24.95" customHeight="1">
      <c r="B14" s="448" t="s">
        <v>448</v>
      </c>
      <c r="C14" s="448"/>
    </row>
    <row r="15" spans="2:3" ht="24.95" customHeight="1">
      <c r="B15" s="13" t="s">
        <v>3</v>
      </c>
      <c r="C15" s="13" t="s">
        <v>362</v>
      </c>
    </row>
    <row r="16" spans="2:3" ht="24.95" customHeight="1">
      <c r="B16" s="11" t="s">
        <v>43</v>
      </c>
      <c r="C16" s="11">
        <f>COUNTIF(EXPEDIENTES!G:G,B16)</f>
        <v>107</v>
      </c>
    </row>
    <row r="17" spans="2:3" ht="24.95" customHeight="1">
      <c r="B17" s="11" t="s">
        <v>34</v>
      </c>
      <c r="C17" s="11">
        <f>COUNTIF(EXPEDIENTES!G:G,B17)</f>
        <v>34</v>
      </c>
    </row>
    <row r="18" spans="2:3" ht="24.95" customHeight="1">
      <c r="B18" s="11" t="s">
        <v>29</v>
      </c>
      <c r="C18" s="11">
        <f>COUNTIF(EXPEDIENTES!G:G,B18)</f>
        <v>90</v>
      </c>
    </row>
    <row r="19" spans="2:3" ht="24.95" customHeight="1">
      <c r="B19" s="11" t="s">
        <v>283</v>
      </c>
      <c r="C19" s="11">
        <f>COUNTIF(EXPEDIENTES!G:G,B19)</f>
        <v>118</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85</v>
      </c>
    </row>
    <row r="23" spans="2:3" ht="24.95" customHeight="1">
      <c r="B23" s="25" t="s">
        <v>370</v>
      </c>
      <c r="C23" s="28">
        <f>SUM(C16:C22)</f>
        <v>512</v>
      </c>
    </row>
    <row r="24" spans="2:3" ht="23.25" customHeight="1">
      <c r="B24" s="11" t="s">
        <v>450</v>
      </c>
      <c r="C24" s="11">
        <f>'no realizadas'!N10</f>
        <v>0</v>
      </c>
    </row>
    <row r="25" spans="2:3" ht="24.95" customHeight="1">
      <c r="B25" s="14"/>
      <c r="C25" s="14"/>
    </row>
    <row r="26" spans="2:3" ht="24.95" customHeight="1">
      <c r="B26" s="448" t="s">
        <v>449</v>
      </c>
      <c r="C26" s="448"/>
    </row>
    <row r="27" spans="2:3" ht="24.95" customHeight="1">
      <c r="B27" s="13" t="s">
        <v>3</v>
      </c>
      <c r="C27" s="13" t="s">
        <v>362</v>
      </c>
    </row>
    <row r="28" spans="2:3" ht="24.95" customHeight="1">
      <c r="B28" s="11" t="s">
        <v>43</v>
      </c>
      <c r="C28" s="11">
        <f ca="1">COUNTIFS(EXPEDIENTES!G:G,B28,EXPEDIENTES!O:O,"SI")</f>
        <v>104</v>
      </c>
    </row>
    <row r="29" spans="2:3" ht="24.95" customHeight="1">
      <c r="B29" s="11" t="s">
        <v>34</v>
      </c>
      <c r="C29" s="11">
        <f ca="1">COUNTIFS(EXPEDIENTES!G:G,B29,EXPEDIENTES!O:O,"SI")</f>
        <v>34</v>
      </c>
    </row>
    <row r="30" spans="2:3" ht="24.95" customHeight="1">
      <c r="B30" s="11" t="s">
        <v>29</v>
      </c>
      <c r="C30" s="11">
        <f ca="1">COUNTIFS(EXPEDIENTES!G:G,B30,EXPEDIENTES!O:O,"SI")</f>
        <v>90</v>
      </c>
    </row>
    <row r="31" spans="2:3" ht="24.95" customHeight="1">
      <c r="B31" s="11" t="s">
        <v>283</v>
      </c>
      <c r="C31" s="11">
        <f ca="1">COUNTIFS(EXPEDIENTES!G:G,B31,EXPEDIENTES!O:O,"SI")</f>
        <v>112</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78</v>
      </c>
    </row>
    <row r="35" spans="2:3" ht="24.95" customHeight="1">
      <c r="B35" s="25" t="s">
        <v>371</v>
      </c>
      <c r="C35" s="28">
        <f ca="1">SUM(C28:C34)</f>
        <v>496</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02/03/20231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23/06/yyyy5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29/06/yyyy6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c r="A328" s="178" t="str">
        <f t="shared" si="10"/>
        <v>11/07/yyyy4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17/07/yyyy1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c r="A362" s="178" t="str">
        <f t="shared" si="10"/>
        <v>18/07/yyyy3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c r="A363" s="178" t="str">
        <f t="shared" si="10"/>
        <v>18/07/yyyy4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c r="A371" s="178" t="str">
        <f t="shared" si="10"/>
        <v>20/07/yyyy1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c r="A372" s="178" t="str">
        <f t="shared" si="10"/>
        <v>20/07/yyyy2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c r="A374" s="178" t="str">
        <f t="shared" si="10"/>
        <v>20/07/yyyy4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c r="A375" s="178" t="str">
        <f t="shared" si="10"/>
        <v>21/07/yyyy1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c r="A376" s="178" t="str">
        <f t="shared" si="10"/>
        <v>21/07/yyyy2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c r="A377" s="178" t="str">
        <f t="shared" si="10"/>
        <v>21/07/yyyy3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c r="A378" s="178" t="str">
        <f t="shared" si="10"/>
        <v>21/07/yyyy4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c r="A379" s="178" t="str">
        <f t="shared" si="10"/>
        <v>21/07/yyyy5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c r="A380" s="178" t="str">
        <f t="shared" si="10"/>
        <v>21/07/yyyy6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c r="A381" s="178" t="str">
        <f t="shared" si="10"/>
        <v>21/07/yyyy7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25/07/yyyy2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25/07/yyyy3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c r="A385" s="178" t="str">
        <f t="shared" si="10"/>
        <v>25/07/yyyy4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25/07/yyyy5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c r="A387" s="178" t="str">
        <f t="shared" ref="A387:A450" si="12">CONCATENATE(TEXT($G387,"dd/mm/yyyy"),$B387)</f>
        <v>25/07/yyyy6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c r="A389" s="178" t="str">
        <f t="shared" si="12"/>
        <v>26/07/yyyy2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c r="A390" s="178" t="str">
        <f t="shared" si="12"/>
        <v>26/07/yyyy3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c r="A391" s="178" t="str">
        <f t="shared" si="12"/>
        <v>26/07/yyyy4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c r="A392" s="178" t="str">
        <f t="shared" si="12"/>
        <v>26/07/yyyy5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c r="A393" s="178" t="str">
        <f t="shared" si="12"/>
        <v>26/07/yyyy6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27/07/yyyy1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27/07/yyyy2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27/07/yyyy3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c r="A397" s="178" t="str">
        <f t="shared" si="12"/>
        <v>27/07/yyyy4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c r="A398" s="178" t="str">
        <f t="shared" si="12"/>
        <v>27/07/yyyy5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c r="A399" s="178" t="str">
        <f t="shared" si="12"/>
        <v>28/07/yyyy1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c r="A400" s="178" t="str">
        <f t="shared" si="12"/>
        <v>28/07/yyyy2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c r="A401" s="178" t="str">
        <f t="shared" si="12"/>
        <v>28/07/yyyy3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c r="A402" s="178" t="str">
        <f t="shared" si="12"/>
        <v>28/07/yyyy4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c r="A403" s="178" t="str">
        <f t="shared" si="12"/>
        <v>28/07/yyyy5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c r="A404" s="178" t="str">
        <f t="shared" si="12"/>
        <v>28/07/yyyy6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31/07/yyyy2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c r="A407" s="178" t="str">
        <f t="shared" si="12"/>
        <v>31/07/yyyy3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c r="A408" s="178" t="str">
        <f t="shared" si="12"/>
        <v>31/07/yyyy4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c r="A409" s="178" t="str">
        <f t="shared" si="12"/>
        <v>31/07/yyyy5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31/07/yyyy6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c r="A411" s="178" t="str">
        <f t="shared" si="12"/>
        <v>31/07/yyyy7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c r="A412" s="178" t="str">
        <f t="shared" si="12"/>
        <v>01/08/yyyy1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c r="A413" s="178" t="str">
        <f t="shared" si="12"/>
        <v>01/08/yyyy2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c r="A414" s="178" t="str">
        <f t="shared" si="12"/>
        <v>01/08/yyyy3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c r="A415" s="178" t="str">
        <f t="shared" si="12"/>
        <v>01/08/yyyy4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c r="A416" s="178" t="str">
        <f t="shared" si="12"/>
        <v>01/08/yyyy5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c r="A417" s="178" t="str">
        <f t="shared" si="12"/>
        <v>02/08/yyyy1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c r="A418" s="178" t="str">
        <f t="shared" si="12"/>
        <v>02/08/yyyy2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02/08/yyyy3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c r="A420" s="178" t="str">
        <f t="shared" si="12"/>
        <v>02/08/yyyy4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c r="A421" s="178" t="str">
        <f t="shared" si="12"/>
        <v>02/08/yyyy5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c r="A422" s="178" t="str">
        <f t="shared" si="12"/>
        <v>02/08/yyyy6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c r="A423" s="178" t="str">
        <f t="shared" si="12"/>
        <v>03/08/yyyy1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c r="A424" s="178" t="str">
        <f t="shared" si="12"/>
        <v>03/08/yyyy2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03/08/yyyy3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c r="A426" s="178" t="str">
        <f t="shared" si="12"/>
        <v>03/08/yyyy4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c r="A427" s="178" t="str">
        <f t="shared" si="12"/>
        <v>03/08/yyyy5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c r="A428" s="178" t="str">
        <f t="shared" si="12"/>
        <v>03/08/yyyy6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c r="A429" s="178" t="str">
        <f t="shared" si="12"/>
        <v>04/08/yyyy1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c r="A430" s="178" t="str">
        <f t="shared" si="12"/>
        <v>04/08/yyyy2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04/08/yyyy3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c r="A432" s="178" t="str">
        <f t="shared" si="12"/>
        <v>04/08/yyyy4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c r="A433" s="178" t="str">
        <f t="shared" si="12"/>
        <v>04/08/yyyy5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c r="A434" s="178" t="str">
        <f t="shared" si="12"/>
        <v>04/08/yyyy6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c r="A435" s="178" t="str">
        <f t="shared" si="12"/>
        <v>04/08/yyyy7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c r="A436" s="178" t="str">
        <f t="shared" si="12"/>
        <v>07/08/yyyy1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c r="A437" s="178" t="str">
        <f t="shared" si="12"/>
        <v>07/08/yyyy2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c r="A438" s="178" t="str">
        <f t="shared" si="12"/>
        <v>07/08/yyyy3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c r="A439" s="178" t="str">
        <f t="shared" si="12"/>
        <v>07/08/yyyy4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c r="A440" s="178" t="str">
        <f t="shared" si="12"/>
        <v>07/08/yyyy5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c r="A441" s="178" t="str">
        <f t="shared" si="12"/>
        <v>07/08/yyyy6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c r="A442" s="178" t="str">
        <f t="shared" si="12"/>
        <v>07/08/yyyy7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c r="A443" s="178" t="str">
        <f t="shared" si="12"/>
        <v>08/08/yyyy1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c r="A444" s="178" t="str">
        <f t="shared" si="12"/>
        <v>08/08/yyyy2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c r="A445" s="178" t="str">
        <f t="shared" si="12"/>
        <v>08/08/yyyy3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c r="A446" s="178" t="str">
        <f t="shared" si="12"/>
        <v>08/08/yyyy4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c r="A447" s="178" t="str">
        <f t="shared" si="12"/>
        <v>08/08/yyyy5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c r="A448" s="178" t="str">
        <f t="shared" si="12"/>
        <v>08/08/yyyy6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c r="A449" s="178" t="str">
        <f t="shared" si="12"/>
        <v>09/08/yyyy1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c r="A450" s="178" t="str">
        <f t="shared" si="12"/>
        <v>09/08/yyyy2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09/08/yyyy3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c r="A452" s="178" t="str">
        <f t="shared" si="14"/>
        <v>09/08/yyyy4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c r="A453" s="178" t="str">
        <f t="shared" si="14"/>
        <v>09/08/yyyy5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c r="A454" s="178" t="str">
        <f t="shared" si="14"/>
        <v>09/08/yyyy6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c r="A455" s="178" t="str">
        <f t="shared" si="14"/>
        <v>10/08/yyyy1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c r="A456" s="178" t="str">
        <f t="shared" si="14"/>
        <v>10/08/yyyy2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c r="A457" s="178" t="str">
        <f t="shared" si="14"/>
        <v>10/08/yyyy3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c r="A458" s="178" t="str">
        <f t="shared" si="14"/>
        <v>10/08/yyyy4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c r="A459" s="178" t="str">
        <f t="shared" si="14"/>
        <v>11/08/yyyy1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c r="A460" s="178" t="str">
        <f t="shared" si="14"/>
        <v>11/08/yyyy2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c r="A461" s="178" t="str">
        <f t="shared" si="14"/>
        <v>11/08/yyyy3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c r="A462" s="178" t="str">
        <f t="shared" si="14"/>
        <v>11/08/yyyy4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c r="A463" s="178" t="str">
        <f t="shared" si="14"/>
        <v>11/08/yyyy5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c r="A464" s="178" t="str">
        <f t="shared" si="14"/>
        <v>11/08/yyyy6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c r="A465" s="178" t="str">
        <f t="shared" si="14"/>
        <v>11/08/yyyy7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c r="A466" s="178" t="str">
        <f t="shared" si="14"/>
        <v>14/08/yyyy1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c r="A467" s="178" t="str">
        <f t="shared" si="14"/>
        <v>14/08/yyyy2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c r="A468" s="178" t="str">
        <f t="shared" si="14"/>
        <v>14/08/yyyy3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c r="A469" s="178" t="str">
        <f t="shared" si="14"/>
        <v>14/08/yyyy4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c r="A470" s="178" t="str">
        <f t="shared" si="14"/>
        <v>14/08/yyyy5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c r="A471" s="178" t="str">
        <f t="shared" si="14"/>
        <v>14/08/yyyy6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c r="A472" s="178" t="str">
        <f t="shared" si="14"/>
        <v>15/08/yyyy1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15/08/yyyy2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c r="A474" s="178" t="str">
        <f t="shared" si="14"/>
        <v>15/08/yyyy3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c r="A475" s="178" t="str">
        <f t="shared" si="14"/>
        <v>15/08/yyyy4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c r="A476" s="178" t="str">
        <f t="shared" si="14"/>
        <v>15/08/yyyy5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c r="A477" s="178" t="str">
        <f t="shared" si="14"/>
        <v>16/08/yyyy1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c r="A478" s="178" t="str">
        <f t="shared" si="14"/>
        <v>16/08/yyyy2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c r="A479" s="178" t="str">
        <f t="shared" si="14"/>
        <v>16/08/yyyy3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c r="A480" s="178" t="str">
        <f t="shared" si="14"/>
        <v>16/08/yyyy4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c r="A481" s="178" t="str">
        <f t="shared" si="14"/>
        <v>16/08/yyyy5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c r="A482" s="178" t="str">
        <f t="shared" si="14"/>
        <v>16/08/yyyy6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c r="A483" s="178" t="str">
        <f t="shared" si="14"/>
        <v>16/08/yyyy7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17/08/yyyy1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c r="A485" s="178" t="str">
        <f t="shared" si="14"/>
        <v>17/08/yyyy2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c r="A486" s="178" t="str">
        <f t="shared" si="14"/>
        <v>17/08/yyyy3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c r="A487" s="178" t="str">
        <f t="shared" si="14"/>
        <v>17/08/yyyy4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17/08/yyyy5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c r="A489" s="178" t="str">
        <f t="shared" si="14"/>
        <v>18/08/yyyy1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c r="A490" s="178" t="str">
        <f t="shared" si="14"/>
        <v>18/08/yyyy2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c r="A491" s="178" t="str">
        <f t="shared" si="14"/>
        <v>18/08/yyyy3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c r="A492" s="178" t="str">
        <f t="shared" si="14"/>
        <v>18/08/yyyy4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c r="A493" s="178" t="str">
        <f t="shared" si="14"/>
        <v>18/08/yyyy5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c r="A494" s="178" t="str">
        <f t="shared" si="14"/>
        <v>18/08/yyyy6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c r="A495" s="178" t="str">
        <f t="shared" si="14"/>
        <v>18/08/yyyy7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c r="A496" s="178" t="str">
        <f t="shared" si="14"/>
        <v>18/08/yyyy8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c r="A497" s="178" t="str">
        <f t="shared" si="14"/>
        <v>22/08/yyyy1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c r="A498" s="178" t="str">
        <f t="shared" si="14"/>
        <v>22/08/yyyy2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c r="A499" s="178" t="str">
        <f t="shared" si="14"/>
        <v>22/08/yyyy3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c r="A500" s="178" t="str">
        <f t="shared" si="14"/>
        <v>22/08/yyyy4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c r="A501" s="178" t="str">
        <f t="shared" si="14"/>
        <v>22/08/yyyy5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c r="A502" s="178" t="str">
        <f t="shared" si="14"/>
        <v>23/08/yyyy1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c r="A503" s="178" t="str">
        <f t="shared" si="14"/>
        <v>23/08/yyyy2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c r="A504" s="178" t="str">
        <f t="shared" si="14"/>
        <v>23/08/yyyy3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c r="A505" s="178" t="str">
        <f t="shared" si="14"/>
        <v>23/08/yyyy4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c r="A506" s="178" t="str">
        <f t="shared" si="14"/>
        <v>23/08/yyyy5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c r="A507" s="178" t="str">
        <f t="shared" si="14"/>
        <v>23/08/yyyy6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c r="A508" s="178" t="str">
        <f t="shared" si="14"/>
        <v>23/08/yyyy7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c r="A509" s="178" t="str">
        <f t="shared" si="14"/>
        <v>24/08/yyyy1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c r="A510" s="178" t="str">
        <f t="shared" si="14"/>
        <v>24/08/yyyy2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c r="A511" s="178" t="str">
        <f t="shared" si="14"/>
        <v>24/08/yyyy3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c r="A512" s="178" t="str">
        <f t="shared" si="14"/>
        <v>24/08/yyyy4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c r="A513" s="178" t="str">
        <f t="shared" si="14"/>
        <v>24/08/yyyy5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c r="A514" s="178" t="str">
        <f t="shared" si="14"/>
        <v>24/08/yyyy6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c r="A515" s="178" t="str">
        <f t="shared" ref="A515:A578" si="16">CONCATENATE(TEXT($G515,"dd/mm/yyyy"),$B515)</f>
        <v>24/08/yyyy7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c r="A516" s="178" t="str">
        <f t="shared" si="16"/>
        <v>25/08/yyyy1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c r="A517" s="178" t="str">
        <f t="shared" si="16"/>
        <v>25/08/yyyy2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c r="A518" s="178" t="str">
        <f t="shared" si="16"/>
        <v>25/08/yyyy3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c r="A519" s="178" t="str">
        <f t="shared" si="16"/>
        <v>25/08/yyyy4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c r="A520" s="178" t="str">
        <f t="shared" si="16"/>
        <v>25/08/yyyy5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c r="A521" s="178" t="str">
        <f t="shared" si="16"/>
        <v>25/08/yyyy6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c r="A522" s="178" t="str">
        <f t="shared" si="16"/>
        <v>29/08/yyyy1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c r="A523" s="178" t="str">
        <f t="shared" si="16"/>
        <v>29/08/yyyy2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c r="A524" s="178" t="str">
        <f t="shared" si="16"/>
        <v>29/08/yyyy3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c r="A525" s="178" t="str">
        <f t="shared" si="16"/>
        <v>29/08/yyyy4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c r="A526" s="178" t="str">
        <f t="shared" si="16"/>
        <v>29/08/yyyy5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29/08/yyyy6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c r="A528" s="178" t="str">
        <f t="shared" si="16"/>
        <v>30/08/yyyy1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c r="A529" s="178" t="str">
        <f t="shared" si="16"/>
        <v>30/08/yyyy2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c r="A530" s="178" t="str">
        <f t="shared" si="16"/>
        <v>30/08/yyyy3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c r="A531" s="178" t="str">
        <f t="shared" si="16"/>
        <v>30/08/yyyy4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c r="A532" s="178" t="str">
        <f t="shared" si="16"/>
        <v>30/08/yyyy5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31/08/yyyy1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c r="A534" s="178" t="str">
        <f t="shared" si="16"/>
        <v>31/08/yyyy2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c r="A535" s="178" t="str">
        <f t="shared" si="16"/>
        <v>31/08/yyyy3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31/08/yyyy4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31/08/yyyy5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c r="A538" s="178" t="str">
        <f t="shared" si="16"/>
        <v>31/08/yyyy6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c r="A539" s="178" t="str">
        <f t="shared" si="16"/>
        <v>31/08/yyyy7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c r="A540" s="178" t="str">
        <f t="shared" si="16"/>
        <v>01/09/yyyy1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c r="A541" s="178" t="str">
        <f t="shared" si="16"/>
        <v>01/09/yyyy2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c r="A542" s="178" t="str">
        <f t="shared" si="16"/>
        <v>01/09/yyyy3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01/09/yyyy4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01/09/yyyy5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c r="A545" s="178" t="str">
        <f t="shared" si="16"/>
        <v>01/09/yyyy6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c r="A546" s="178" t="str">
        <f t="shared" si="16"/>
        <v>01/09/yyyy7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c r="A547" s="178" t="str">
        <f t="shared" si="16"/>
        <v>04/09/yyyy1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04/09/yyyy2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04/09/yyyy3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c r="A550" s="178" t="str">
        <f t="shared" si="16"/>
        <v>04/09/yyyy4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c r="A551" s="178" t="str">
        <f t="shared" si="16"/>
        <v>04/09/yyyy5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c r="A552" s="178" t="str">
        <f t="shared" si="16"/>
        <v>05/09/yyyy1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05/09/yyyy2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c r="A554" s="178" t="str">
        <f t="shared" si="16"/>
        <v>05/09/yyyy3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05/09/yyyy4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c r="A556" s="178" t="str">
        <f t="shared" si="16"/>
        <v>05/09/yyyy5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c r="A557" s="178" t="str">
        <f t="shared" si="16"/>
        <v>05/09/yyyy6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06/09/yyyy1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c r="A559" s="178" t="str">
        <f t="shared" si="16"/>
        <v>06/09/yyyy2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c r="A560" s="178" t="str">
        <f t="shared" si="16"/>
        <v>06/09/yyyy3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06/09/yyyy4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c r="A562" s="178" t="str">
        <f t="shared" si="16"/>
        <v>06/09/yyyy5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07/09/yyyy1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c r="A564" s="178" t="str">
        <f t="shared" si="16"/>
        <v>07/09/yyyy2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c r="A565" s="178" t="str">
        <f t="shared" si="16"/>
        <v>07/09/yyyy3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07/09/yyyy4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c r="A567" s="178" t="str">
        <f t="shared" si="16"/>
        <v>07/09/yyyy5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c r="A568" s="178" t="str">
        <f t="shared" si="16"/>
        <v>07/09/yyyy6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c r="A569" s="178" t="str">
        <f t="shared" si="16"/>
        <v>07/09/yyyy7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c r="A570" s="178" t="str">
        <f t="shared" si="16"/>
        <v>08/09/yyyy1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c r="A571" s="178" t="str">
        <f t="shared" si="16"/>
        <v>08/09/yyyy2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08/09/yyyy3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c r="A573" s="178" t="str">
        <f t="shared" si="16"/>
        <v>08/09/yyyy4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11/09/yyyy1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11/09/yyyy2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c r="A576" s="178" t="str">
        <f t="shared" si="16"/>
        <v>11/09/yyyy3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11/09/yyyy4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c r="A578" s="178" t="str">
        <f t="shared" si="16"/>
        <v>11/09/yyyy5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c r="A579" s="178" t="str">
        <f t="shared" ref="A579:A642" si="18">CONCATENATE(TEXT($G579,"dd/mm/yyyy"),$B579)</f>
        <v>11/09/yyyy6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c r="A580" s="178" t="str">
        <f t="shared" si="18"/>
        <v>11/09/yyyy7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12/09/yyyy1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c r="A582" s="178" t="str">
        <f t="shared" si="18"/>
        <v>12/09/yyyy2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12/09/yyyy3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c r="A584" s="178" t="str">
        <f t="shared" si="18"/>
        <v>12/09/yyyy4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c r="A585" s="178" t="str">
        <f t="shared" si="18"/>
        <v>12/09/yyyy5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18/09/yyyy1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c r="A587" s="178" t="str">
        <f t="shared" si="18"/>
        <v>18/09/yyyy2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18/09/yyyy3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18/09/yyyy4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c r="A590" s="178" t="str">
        <f t="shared" si="18"/>
        <v>19/09/yyyy1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c r="A591" s="178" t="str">
        <f t="shared" si="18"/>
        <v>19/09/yyyy2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19/09/yyyy3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19/09/yyyy4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19/09/yyyy5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c r="A595" s="178" t="str">
        <f t="shared" si="18"/>
        <v>19/09/yyyy6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c r="A596" s="178" t="str">
        <f t="shared" si="18"/>
        <v>19/09/yyyy7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20/09/yyyy1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c r="A598" s="178" t="str">
        <f t="shared" si="18"/>
        <v>20/09/yyyy2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20/09/yyyy3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c r="A600" s="178" t="str">
        <f t="shared" si="18"/>
        <v>20/09/yyyy4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c r="A601" s="178" t="str">
        <f t="shared" si="18"/>
        <v>20/09/yyyy5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20/09/yyyy6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c r="A603" s="178" t="str">
        <f t="shared" si="18"/>
        <v>20/09/yyyy7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20/09/yyyy8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c r="A605" s="178" t="str">
        <f t="shared" si="18"/>
        <v>21/09/yyyy1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c r="A606" s="178" t="str">
        <f t="shared" si="18"/>
        <v>21/09/yyyy2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21/09/yyyy3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c r="A608" s="178" t="str">
        <f t="shared" si="18"/>
        <v>21/09/yyyy4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c r="A609" s="178" t="str">
        <f t="shared" si="18"/>
        <v>21/09/yyyy5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21/09/yyyy6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21/09/yyyy7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22/09/yyyy1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c r="A613" s="178" t="str">
        <f t="shared" si="18"/>
        <v>22/09/yyyy2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c r="A614" s="178" t="str">
        <f t="shared" si="18"/>
        <v>22/09/yyyy3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c r="A615" s="178" t="str">
        <f t="shared" si="18"/>
        <v>22/09/yyyy4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c r="A616" s="178" t="str">
        <f t="shared" si="18"/>
        <v>22/09/yyyy5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22/09/yyyy6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c r="A618" s="178" t="str">
        <f t="shared" si="18"/>
        <v>22/09/yyyy7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c r="A619" s="178" t="str">
        <f t="shared" si="18"/>
        <v>25/09/yyyy1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c r="A620" s="178" t="str">
        <f t="shared" si="18"/>
        <v>25/09/yyyy2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25/09/yyyy3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25/09/yyyy4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25/09/yyyy5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c r="A624" s="178" t="str">
        <f t="shared" si="18"/>
        <v>25/09/yyyy6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c r="A625" s="178" t="str">
        <f t="shared" si="18"/>
        <v>25/09/yyyy7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c r="A626" s="178" t="str">
        <f t="shared" si="18"/>
        <v>25/09/yyyy8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c r="A627" s="178" t="str">
        <f t="shared" si="18"/>
        <v>26/09/yyyy1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c r="A628" s="178" t="str">
        <f t="shared" si="18"/>
        <v>26/09/yyyy2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26/09/yyyy3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26/09/yyyy4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c r="A631" s="178" t="str">
        <f t="shared" si="18"/>
        <v>26/09/yyyy5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c r="A632" s="178" t="str">
        <f t="shared" si="18"/>
        <v>26/09/yyyy6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c r="A633" s="178" t="str">
        <f t="shared" si="18"/>
        <v>26/09/yyyy7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26/09/yyyy8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c r="A635" s="178" t="str">
        <f t="shared" si="18"/>
        <v>27/09/yyyy1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c r="A636" s="178" t="str">
        <f t="shared" si="18"/>
        <v>27/09/yyyy2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c r="A637" s="178" t="str">
        <f t="shared" si="18"/>
        <v>27/09/yyyy3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27/09/yyyy4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c r="A639" s="178" t="str">
        <f t="shared" si="18"/>
        <v>27/09/yyyy5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c r="A640" s="178" t="str">
        <f t="shared" si="18"/>
        <v>27/09/yyyy6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c r="A641" s="178" t="str">
        <f t="shared" si="18"/>
        <v>27/09/yyyy7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c r="A642" s="178" t="str">
        <f t="shared" si="18"/>
        <v>27/09/yyyy8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c r="A643" s="178" t="str">
        <f t="shared" ref="A643:A706" si="20">CONCATENATE(TEXT($G643,"dd/mm/yyyy"),$B643)</f>
        <v>28/09/yyyy1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c r="A644" s="178" t="str">
        <f t="shared" si="20"/>
        <v>28/09/yyyy2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28/09/yyyy3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c r="A646" s="178" t="str">
        <f t="shared" si="20"/>
        <v>28/09/yyyy4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c r="A647" s="178" t="str">
        <f t="shared" si="20"/>
        <v>28/09/yyyy5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c r="A648" s="178" t="str">
        <f t="shared" si="20"/>
        <v>29/09/yyyy1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c r="A649" s="178" t="str">
        <f t="shared" si="20"/>
        <v>29/09/yyyy2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c r="A650" s="178" t="str">
        <f t="shared" si="20"/>
        <v>29/09/yyyy3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29/09/yyyy4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29/09/yyyy5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c r="A653" s="178" t="str">
        <f t="shared" si="20"/>
        <v>29/09/yyyy6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c r="A654" s="178" t="str">
        <f t="shared" si="20"/>
        <v>29/09/yyyy7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c r="A655" s="178" t="str">
        <f t="shared" si="20"/>
        <v>29/09/yyyy8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29/09/yyyy9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c r="A657" s="178" t="str">
        <f t="shared" si="20"/>
        <v>02/10/yyyy1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c r="A658" s="178" t="str">
        <f t="shared" si="20"/>
        <v>02/10/yyyy2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c r="A659" s="178" t="str">
        <f t="shared" si="20"/>
        <v>02/10/yyyy3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c r="A660" s="178" t="str">
        <f t="shared" si="20"/>
        <v>02/10/yyyy4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02/10/yyyy5</v>
      </c>
      <c r="B661" s="171">
        <f t="shared" si="21"/>
        <v>5</v>
      </c>
      <c r="C661" s="83" t="s">
        <v>2968</v>
      </c>
      <c r="D661" s="84" t="s">
        <v>3104</v>
      </c>
      <c r="E661" s="83">
        <v>7</v>
      </c>
      <c r="F661" s="83" t="s">
        <v>43</v>
      </c>
      <c r="G661" s="85">
        <v>45201</v>
      </c>
      <c r="H661" s="85" t="s">
        <v>73</v>
      </c>
      <c r="I661" s="85" t="s">
        <v>1730</v>
      </c>
      <c r="J661" s="83" t="s">
        <v>1345</v>
      </c>
      <c r="K661" s="83" t="s">
        <v>791</v>
      </c>
      <c r="L661" s="83" t="s">
        <v>725</v>
      </c>
    </row>
    <row r="662" spans="1:12" ht="30" customHeight="1">
      <c r="A662" s="178" t="str">
        <f t="shared" si="20"/>
        <v>02/10/yyyy6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c r="A663" s="178" t="str">
        <f t="shared" si="20"/>
        <v>02/10/yyyy7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c r="A664" s="178" t="str">
        <f t="shared" si="20"/>
        <v>02/10/yyyy8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c r="A665" s="178" t="str">
        <f t="shared" si="20"/>
        <v>03/10/yyyy1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c r="A666" s="178" t="str">
        <f t="shared" si="20"/>
        <v>03/10/yyyy2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03/10/yyyy3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c r="A668" s="178" t="str">
        <f t="shared" si="20"/>
        <v>03/10/yyyy4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03/10/yyyy5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c r="A670" s="178" t="str">
        <f t="shared" si="20"/>
        <v>03/10/yyyy6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c r="A671" s="178" t="str">
        <f t="shared" si="20"/>
        <v>03/10/yyyy7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c r="A672" s="178" t="str">
        <f t="shared" si="20"/>
        <v>03/10/yyyy8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03/10/yyyy9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c r="A674" s="178" t="str">
        <f t="shared" si="20"/>
        <v>04/10/yyyy1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c r="A675" s="178" t="str">
        <f t="shared" si="20"/>
        <v>04/10/yyyy2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04/10/yyyy3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c r="A677" s="178" t="str">
        <f t="shared" si="20"/>
        <v>04/10/yyyy4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c r="A678" s="178" t="str">
        <f t="shared" si="20"/>
        <v>04/10/yyyy5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c r="A679" s="178" t="str">
        <f t="shared" si="20"/>
        <v>04/10/yyyy6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c r="A680" s="178" t="str">
        <f t="shared" si="20"/>
        <v>04/10/yyyy7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04/10/yyyy8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c r="A682" s="178" t="str">
        <f t="shared" si="20"/>
        <v>05/10/yyyy1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c r="A683" s="178" t="str">
        <f t="shared" si="20"/>
        <v>05/10/yyyy2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c r="A684" s="178" t="str">
        <f t="shared" si="20"/>
        <v>05/10/yyyy3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c r="A685" s="178" t="str">
        <f t="shared" si="20"/>
        <v>05/10/yyyy4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05/10/yyyy5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c r="A687" s="178" t="str">
        <f t="shared" si="20"/>
        <v>05/10/yyyy6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05/10/yyyy7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05/10/yyyy8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c r="A690" s="178" t="str">
        <f t="shared" si="20"/>
        <v>05/10/yyyy9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06/10/yyyy1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06/10/yyyy2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c r="A693" s="178" t="str">
        <f t="shared" si="20"/>
        <v>06/10/yyyy3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c r="A694" s="178" t="str">
        <f t="shared" si="20"/>
        <v>06/10/yyyy4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c r="A695" s="178" t="str">
        <f t="shared" si="20"/>
        <v>06/10/yyyy5</v>
      </c>
      <c r="B695" s="171">
        <f t="shared" si="21"/>
        <v>5</v>
      </c>
      <c r="C695" s="83" t="s">
        <v>3000</v>
      </c>
      <c r="D695" s="84" t="s">
        <v>3108</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06/10/yyyy6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c r="A697" s="178" t="str">
        <f t="shared" si="20"/>
        <v>06/10/yyyy7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06/10/yyyy8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06/10/yyyy9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c r="A700" s="178" t="str">
        <f t="shared" si="20"/>
        <v>09/10/yyyy1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c r="A701" s="178" t="str">
        <f t="shared" si="20"/>
        <v>09/10/yyyy2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09/10/yyyy3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09/10/yyyy4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c r="A704" s="178" t="str">
        <f t="shared" si="20"/>
        <v>09/10/yyyy5</v>
      </c>
      <c r="B704" s="171">
        <f t="shared" si="21"/>
        <v>5</v>
      </c>
      <c r="C704" s="83" t="s">
        <v>3086</v>
      </c>
      <c r="D704" s="84" t="s">
        <v>3106</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09/10/yyyy6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c r="A706" s="178" t="str">
        <f t="shared" si="20"/>
        <v>09/10/yyyy7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c r="A707" s="178" t="str">
        <f t="shared" ref="A707:A770" si="22">CONCATENATE(TEXT($G707,"dd/mm/yyyy"),$B707)</f>
        <v>09/10/yyyy8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c r="A708" s="178" t="str">
        <f t="shared" si="22"/>
        <v>10/10/yyyy1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c r="A709" s="178" t="str">
        <f t="shared" si="22"/>
        <v>10/10/yyyy2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c r="A710" s="178" t="str">
        <f t="shared" si="22"/>
        <v>10/10/yyyy3</v>
      </c>
      <c r="B710" s="171">
        <f t="shared" si="23"/>
        <v>3</v>
      </c>
      <c r="C710" s="83" t="s">
        <v>3091</v>
      </c>
      <c r="D710" s="84" t="s">
        <v>3092</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10/10/yyyy4</v>
      </c>
      <c r="B711" s="171">
        <f t="shared" si="23"/>
        <v>4</v>
      </c>
      <c r="C711" s="83" t="s">
        <v>3034</v>
      </c>
      <c r="D711" s="84" t="s">
        <v>3105</v>
      </c>
      <c r="E711" s="83">
        <v>1</v>
      </c>
      <c r="F711" s="83" t="s">
        <v>43</v>
      </c>
      <c r="G711" s="85">
        <v>45209</v>
      </c>
      <c r="H711" s="85" t="s">
        <v>73</v>
      </c>
      <c r="I711" s="85" t="s">
        <v>2951</v>
      </c>
      <c r="J711" s="83" t="s">
        <v>2340</v>
      </c>
      <c r="K711" s="83" t="s">
        <v>789</v>
      </c>
      <c r="L711" s="83" t="s">
        <v>700</v>
      </c>
    </row>
    <row r="712" spans="1:12" ht="30" customHeight="1">
      <c r="A712" s="178" t="str">
        <f t="shared" si="22"/>
        <v>10/10/yyyy5</v>
      </c>
      <c r="B712" s="171">
        <f t="shared" si="23"/>
        <v>5</v>
      </c>
      <c r="C712" s="83" t="s">
        <v>3074</v>
      </c>
      <c r="D712" s="84" t="s">
        <v>3099</v>
      </c>
      <c r="E712" s="83">
        <v>1</v>
      </c>
      <c r="F712" s="83" t="s">
        <v>2835</v>
      </c>
      <c r="G712" s="85">
        <v>45209</v>
      </c>
      <c r="H712" s="85" t="s">
        <v>73</v>
      </c>
      <c r="I712" s="85" t="s">
        <v>1219</v>
      </c>
      <c r="J712" s="83">
        <f>IFERROR(VLOOKUP(I712,Jueces!$A$1:$B$11,2,FALSE),"")</f>
        <v>1</v>
      </c>
      <c r="K712" s="83" t="s">
        <v>799</v>
      </c>
      <c r="L712" s="83" t="s">
        <v>712</v>
      </c>
    </row>
    <row r="713" spans="1:12" ht="30" customHeight="1">
      <c r="A713" s="178" t="str">
        <f t="shared" si="22"/>
        <v>10/10/yyyy6</v>
      </c>
      <c r="B713" s="171">
        <f t="shared" si="23"/>
        <v>6</v>
      </c>
      <c r="C713" s="83" t="s">
        <v>3087</v>
      </c>
      <c r="D713" s="84" t="s">
        <v>3088</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10/10/yyyy7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c r="A715" s="178" t="str">
        <f t="shared" si="22"/>
        <v>10/10/yyyy8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c r="A716" s="178" t="str">
        <f t="shared" si="22"/>
        <v>10/10/yyyy9</v>
      </c>
      <c r="B716" s="171">
        <f t="shared" si="23"/>
        <v>9</v>
      </c>
      <c r="C716" s="83" t="s">
        <v>3008</v>
      </c>
      <c r="D716" s="84" t="s">
        <v>3097</v>
      </c>
      <c r="E716" s="83">
        <v>1</v>
      </c>
      <c r="F716" s="83" t="s">
        <v>2785</v>
      </c>
      <c r="G716" s="85">
        <v>45209</v>
      </c>
      <c r="H716" s="85" t="s">
        <v>1086</v>
      </c>
      <c r="I716" s="85" t="s">
        <v>1220</v>
      </c>
      <c r="J716" s="83" t="s">
        <v>2340</v>
      </c>
      <c r="K716" s="83" t="s">
        <v>812</v>
      </c>
      <c r="L716" s="83" t="s">
        <v>712</v>
      </c>
    </row>
    <row r="717" spans="1:12" ht="30" customHeight="1">
      <c r="A717" s="178" t="str">
        <f t="shared" si="22"/>
        <v>11/10/yyyy1</v>
      </c>
      <c r="B717" s="171">
        <f t="shared" si="23"/>
        <v>1</v>
      </c>
      <c r="C717" s="83" t="s">
        <v>3035</v>
      </c>
      <c r="D717" s="84" t="s">
        <v>3101</v>
      </c>
      <c r="E717" s="83">
        <v>8</v>
      </c>
      <c r="F717" s="83" t="s">
        <v>2835</v>
      </c>
      <c r="G717" s="85">
        <v>45210</v>
      </c>
      <c r="H717" s="85" t="s">
        <v>73</v>
      </c>
      <c r="I717" s="85" t="s">
        <v>1730</v>
      </c>
      <c r="J717" s="83" t="s">
        <v>1345</v>
      </c>
      <c r="K717" s="83" t="s">
        <v>809</v>
      </c>
      <c r="L717" s="83" t="s">
        <v>1087</v>
      </c>
    </row>
    <row r="718" spans="1:12" ht="30" customHeight="1">
      <c r="A718" s="178" t="str">
        <f t="shared" si="22"/>
        <v>11/10/yyyy2</v>
      </c>
      <c r="B718" s="171">
        <f t="shared" si="23"/>
        <v>2</v>
      </c>
      <c r="C718" s="83" t="s">
        <v>2975</v>
      </c>
      <c r="D718" s="84" t="s">
        <v>3102</v>
      </c>
      <c r="E718" s="83">
        <v>1</v>
      </c>
      <c r="F718" s="83" t="s">
        <v>2770</v>
      </c>
      <c r="G718" s="85">
        <v>45210</v>
      </c>
      <c r="H718" s="85" t="s">
        <v>73</v>
      </c>
      <c r="I718" s="85" t="s">
        <v>2951</v>
      </c>
      <c r="J718" s="83" t="s">
        <v>2391</v>
      </c>
      <c r="K718" s="83" t="s">
        <v>791</v>
      </c>
      <c r="L718" s="83" t="s">
        <v>711</v>
      </c>
    </row>
    <row r="719" spans="1:12" ht="30" customHeight="1">
      <c r="A719" s="178" t="str">
        <f t="shared" si="22"/>
        <v>11/10/yyyy3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c r="A720" s="178" t="str">
        <f t="shared" si="22"/>
        <v>11/10/yyyy4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c r="A721" s="178" t="str">
        <f t="shared" si="22"/>
        <v>11/10/yyyy5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3100</v>
      </c>
    </row>
    <row r="722" spans="1:12" ht="30" customHeight="1">
      <c r="A722" s="178" t="str">
        <f t="shared" si="22"/>
        <v>11/10/yyyy6</v>
      </c>
      <c r="B722" s="171">
        <f t="shared" si="23"/>
        <v>6</v>
      </c>
      <c r="C722" s="83" t="s">
        <v>2994</v>
      </c>
      <c r="D722" s="84" t="s">
        <v>3098</v>
      </c>
      <c r="E722" s="83">
        <v>1</v>
      </c>
      <c r="F722" s="83" t="s">
        <v>1441</v>
      </c>
      <c r="G722" s="85">
        <v>45210</v>
      </c>
      <c r="H722" s="85" t="s">
        <v>1086</v>
      </c>
      <c r="I722" s="85" t="s">
        <v>2948</v>
      </c>
      <c r="J722" s="83" t="s">
        <v>1924</v>
      </c>
      <c r="K722" s="83" t="s">
        <v>789</v>
      </c>
      <c r="L722" s="83" t="s">
        <v>712</v>
      </c>
    </row>
    <row r="723" spans="1:12" ht="30" customHeight="1">
      <c r="A723" s="178" t="str">
        <f t="shared" si="22"/>
        <v>11/10/yyyy7</v>
      </c>
      <c r="B723" s="171">
        <f t="shared" si="23"/>
        <v>7</v>
      </c>
      <c r="C723" s="83" t="s">
        <v>3103</v>
      </c>
      <c r="D723" s="84" t="s">
        <v>3110</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11/10/yyyy8</v>
      </c>
      <c r="B724" s="171">
        <f t="shared" si="23"/>
        <v>8</v>
      </c>
      <c r="C724" s="83" t="s">
        <v>2996</v>
      </c>
      <c r="D724" s="84" t="s">
        <v>3109</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12/10/yyyy1</v>
      </c>
      <c r="B725" s="171">
        <f t="shared" si="23"/>
        <v>1</v>
      </c>
      <c r="C725" s="83" t="s">
        <v>3089</v>
      </c>
      <c r="D725" s="84" t="s">
        <v>3090</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12/10/yyyy2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00/01/yyyy1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c r="A728" s="178" t="str">
        <f t="shared" si="22"/>
        <v>00/01/yyyy2</v>
      </c>
      <c r="B728" s="171">
        <f t="shared" si="23"/>
        <v>2</v>
      </c>
      <c r="C728" s="172" t="s">
        <v>2611</v>
      </c>
      <c r="D728" s="173" t="s">
        <v>2612</v>
      </c>
      <c r="E728" s="172">
        <v>7</v>
      </c>
      <c r="F728" s="172"/>
      <c r="G728" s="330"/>
      <c r="H728" s="330"/>
      <c r="I728" s="330"/>
      <c r="J728" s="172" t="str">
        <f>IFERROR(VLOOKUP(I728,Jueces!$A$1:$B$11,2,FALSE),"")</f>
        <v/>
      </c>
      <c r="K728" s="172" t="s">
        <v>812</v>
      </c>
      <c r="L728" s="172" t="s">
        <v>767</v>
      </c>
    </row>
    <row r="729" spans="1:12" ht="30" customHeight="1">
      <c r="A729" s="178" t="str">
        <f t="shared" si="22"/>
        <v>00/01/yyyy3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c r="A730" s="178" t="str">
        <f t="shared" si="22"/>
        <v>00/01/yyyy4</v>
      </c>
      <c r="B730" s="171">
        <f t="shared" si="23"/>
        <v>4</v>
      </c>
      <c r="C730" s="172" t="s">
        <v>1838</v>
      </c>
      <c r="D730" s="173" t="s">
        <v>2876</v>
      </c>
      <c r="E730" s="172">
        <v>4</v>
      </c>
      <c r="F730" s="172"/>
      <c r="G730" s="330"/>
      <c r="H730" s="330"/>
      <c r="I730" s="330"/>
      <c r="J730" s="172" t="str">
        <f>IFERROR(VLOOKUP(I730,Jueces!$A$1:$B$11,2,FALSE),"")</f>
        <v/>
      </c>
      <c r="K730" s="172" t="s">
        <v>812</v>
      </c>
      <c r="L730" s="172"/>
    </row>
    <row r="731" spans="1:12" ht="30" customHeight="1">
      <c r="A731" s="178" t="str">
        <f t="shared" si="22"/>
        <v>00/01/yyyy5</v>
      </c>
      <c r="B731" s="171">
        <f t="shared" si="23"/>
        <v>5</v>
      </c>
      <c r="C731" s="172" t="s">
        <v>2991</v>
      </c>
      <c r="D731" s="173" t="s">
        <v>2992</v>
      </c>
      <c r="E731" s="172">
        <v>8</v>
      </c>
      <c r="F731" s="172"/>
      <c r="G731" s="330"/>
      <c r="H731" s="330"/>
      <c r="I731" s="330"/>
      <c r="J731" s="172" t="str">
        <f>IFERROR(VLOOKUP(I731,Jueces!$A$1:$B$11,2,FALSE),"")</f>
        <v/>
      </c>
      <c r="K731" s="172" t="s">
        <v>796</v>
      </c>
      <c r="L731" s="172"/>
    </row>
    <row r="732" spans="1:12" ht="30" customHeight="1">
      <c r="A732" s="178" t="str">
        <f t="shared" si="22"/>
        <v>00/01/yyyy6</v>
      </c>
      <c r="B732" s="171">
        <f t="shared" si="23"/>
        <v>6</v>
      </c>
      <c r="C732" s="172" t="s">
        <v>3025</v>
      </c>
      <c r="D732" s="173" t="s">
        <v>3026</v>
      </c>
      <c r="E732" s="172">
        <v>1</v>
      </c>
      <c r="F732" s="172"/>
      <c r="G732" s="330"/>
      <c r="H732" s="330"/>
      <c r="I732" s="330"/>
      <c r="J732" s="172" t="str">
        <f>IFERROR(VLOOKUP(I732,Jueces!$A$1:$B$11,2,FALSE),"")</f>
        <v/>
      </c>
      <c r="K732" s="172" t="s">
        <v>811</v>
      </c>
      <c r="L732" s="172"/>
    </row>
    <row r="733" spans="1:12" ht="30" customHeight="1">
      <c r="A733" s="178" t="str">
        <f t="shared" si="22"/>
        <v>00/01/yyyy7</v>
      </c>
      <c r="B733" s="171">
        <f t="shared" si="23"/>
        <v>7</v>
      </c>
      <c r="C733" s="244" t="s">
        <v>3040</v>
      </c>
      <c r="D733" s="247" t="s">
        <v>3107</v>
      </c>
      <c r="E733" s="244">
        <v>4</v>
      </c>
      <c r="F733" s="244"/>
      <c r="G733" s="328"/>
      <c r="H733" s="328"/>
      <c r="I733" s="328"/>
      <c r="J733" s="244" t="str">
        <f>IFERROR(VLOOKUP(I733,Jueces!$A$1:$B$11,2,FALSE),"")</f>
        <v/>
      </c>
      <c r="K733" s="244" t="s">
        <v>806</v>
      </c>
      <c r="L733" s="244" t="s">
        <v>711</v>
      </c>
    </row>
    <row r="734" spans="1:12" ht="30" customHeight="1">
      <c r="A734" s="178" t="str">
        <f t="shared" si="22"/>
        <v>00/01/yyyy8</v>
      </c>
      <c r="B734" s="171">
        <f t="shared" si="23"/>
        <v>8</v>
      </c>
      <c r="C734" s="244" t="s">
        <v>3073</v>
      </c>
      <c r="D734" s="247" t="s">
        <v>3096</v>
      </c>
      <c r="E734" s="244">
        <v>1</v>
      </c>
      <c r="F734" s="244"/>
      <c r="G734" s="328"/>
      <c r="H734" s="328"/>
      <c r="I734" s="328"/>
      <c r="J734" s="244" t="str">
        <f>IFERROR(VLOOKUP(I734,Jueces!$A$1:$B$11,2,FALSE),"")</f>
        <v/>
      </c>
      <c r="K734" s="244" t="s">
        <v>813</v>
      </c>
      <c r="L734" s="244" t="s">
        <v>711</v>
      </c>
    </row>
    <row r="735" spans="1:12" ht="30" customHeight="1">
      <c r="A735" s="178" t="str">
        <f t="shared" si="22"/>
        <v>00/01/yyyy9</v>
      </c>
      <c r="B735" s="171">
        <f t="shared" si="23"/>
        <v>9</v>
      </c>
    </row>
    <row r="736" spans="1:12" ht="30" customHeight="1">
      <c r="A736" s="178" t="str">
        <f t="shared" si="22"/>
        <v>00/01/yyyy10</v>
      </c>
      <c r="B736" s="171">
        <f t="shared" si="23"/>
        <v>10</v>
      </c>
    </row>
    <row r="737" spans="1:2" ht="30" customHeight="1">
      <c r="A737" s="178" t="str">
        <f t="shared" si="22"/>
        <v>00/01/yyyy11</v>
      </c>
      <c r="B737" s="171">
        <f t="shared" si="23"/>
        <v>11</v>
      </c>
    </row>
    <row r="738" spans="1:2" ht="30" customHeight="1">
      <c r="A738" s="178" t="str">
        <f t="shared" si="22"/>
        <v>00/01/yyyy12</v>
      </c>
      <c r="B738" s="171">
        <f t="shared" si="23"/>
        <v>12</v>
      </c>
    </row>
    <row r="739" spans="1:2" ht="30" customHeight="1">
      <c r="A739" s="178" t="str">
        <f t="shared" si="22"/>
        <v>00/01/yyyy13</v>
      </c>
      <c r="B739" s="171">
        <f t="shared" si="23"/>
        <v>13</v>
      </c>
    </row>
    <row r="740" spans="1:2" ht="30" customHeight="1">
      <c r="A740" s="178" t="str">
        <f t="shared" si="22"/>
        <v>00/01/yyyy14</v>
      </c>
      <c r="B740" s="171">
        <f t="shared" si="23"/>
        <v>14</v>
      </c>
    </row>
    <row r="741" spans="1:2" ht="30" customHeight="1">
      <c r="A741" s="178" t="str">
        <f t="shared" si="22"/>
        <v>00/01/yyyy15</v>
      </c>
      <c r="B741" s="171">
        <f t="shared" si="23"/>
        <v>15</v>
      </c>
    </row>
    <row r="742" spans="1:2" ht="30" customHeight="1">
      <c r="A742" s="178" t="str">
        <f t="shared" si="22"/>
        <v>00/01/yyyy16</v>
      </c>
      <c r="B742" s="171">
        <f t="shared" si="23"/>
        <v>16</v>
      </c>
    </row>
    <row r="743" spans="1:2" ht="30" customHeight="1">
      <c r="A743" s="178" t="str">
        <f t="shared" si="22"/>
        <v>00/01/yyyy17</v>
      </c>
      <c r="B743" s="171">
        <f t="shared" si="23"/>
        <v>17</v>
      </c>
    </row>
    <row r="744" spans="1:2" ht="30" customHeight="1">
      <c r="A744" s="178" t="str">
        <f t="shared" si="22"/>
        <v>00/01/yyyy18</v>
      </c>
      <c r="B744" s="171">
        <f t="shared" si="23"/>
        <v>18</v>
      </c>
    </row>
    <row r="745" spans="1:2" ht="30" customHeight="1">
      <c r="A745" s="178" t="str">
        <f t="shared" si="22"/>
        <v>00/01/yyyy19</v>
      </c>
      <c r="B745" s="171">
        <f t="shared" si="23"/>
        <v>19</v>
      </c>
    </row>
    <row r="746" spans="1:2" ht="30" customHeight="1">
      <c r="A746" s="178" t="str">
        <f t="shared" si="22"/>
        <v>00/01/yyyy20</v>
      </c>
      <c r="B746" s="171">
        <f t="shared" si="23"/>
        <v>20</v>
      </c>
    </row>
    <row r="747" spans="1:2" ht="30" customHeight="1">
      <c r="A747" s="178" t="str">
        <f t="shared" si="22"/>
        <v>00/01/yyyy21</v>
      </c>
      <c r="B747" s="171">
        <f t="shared" si="23"/>
        <v>21</v>
      </c>
    </row>
    <row r="748" spans="1:2" ht="30" customHeight="1">
      <c r="A748" s="178" t="str">
        <f t="shared" si="22"/>
        <v>00/01/yyyy22</v>
      </c>
      <c r="B748" s="171">
        <f t="shared" si="23"/>
        <v>22</v>
      </c>
    </row>
    <row r="749" spans="1:2" ht="30" customHeight="1">
      <c r="A749" s="178" t="str">
        <f t="shared" si="22"/>
        <v>00/01/yyyy23</v>
      </c>
      <c r="B749" s="171">
        <f t="shared" si="23"/>
        <v>23</v>
      </c>
    </row>
    <row r="750" spans="1:2" ht="30" customHeight="1">
      <c r="A750" s="178" t="str">
        <f t="shared" si="22"/>
        <v>00/01/yyyy24</v>
      </c>
      <c r="B750" s="171">
        <f t="shared" si="23"/>
        <v>24</v>
      </c>
    </row>
    <row r="751" spans="1:2" ht="30" customHeight="1">
      <c r="A751" s="178" t="str">
        <f t="shared" si="22"/>
        <v>00/01/yyyy25</v>
      </c>
      <c r="B751" s="171">
        <f t="shared" si="23"/>
        <v>25</v>
      </c>
    </row>
    <row r="752" spans="1:2" ht="30" customHeight="1">
      <c r="A752" s="178" t="str">
        <f t="shared" si="22"/>
        <v>00/01/yyyy26</v>
      </c>
      <c r="B752" s="171">
        <f t="shared" si="23"/>
        <v>26</v>
      </c>
    </row>
    <row r="753" spans="1:2" ht="30" customHeight="1">
      <c r="A753" s="178" t="str">
        <f t="shared" si="22"/>
        <v>00/01/yyyy27</v>
      </c>
      <c r="B753" s="171">
        <f t="shared" si="23"/>
        <v>27</v>
      </c>
    </row>
    <row r="754" spans="1:2" ht="30" customHeight="1">
      <c r="A754" s="178" t="str">
        <f t="shared" si="22"/>
        <v>00/01/yyyy28</v>
      </c>
      <c r="B754" s="171">
        <f t="shared" si="23"/>
        <v>28</v>
      </c>
    </row>
    <row r="755" spans="1:2" ht="30" customHeight="1">
      <c r="A755" s="178" t="str">
        <f t="shared" si="22"/>
        <v>00/01/yyyy29</v>
      </c>
      <c r="B755" s="171">
        <f t="shared" si="23"/>
        <v>29</v>
      </c>
    </row>
    <row r="756" spans="1:2" ht="30" customHeight="1">
      <c r="A756" s="178" t="str">
        <f t="shared" si="22"/>
        <v>00/01/yyyy30</v>
      </c>
      <c r="B756" s="171">
        <f t="shared" si="23"/>
        <v>30</v>
      </c>
    </row>
    <row r="757" spans="1:2" ht="30" customHeight="1">
      <c r="A757" s="178" t="str">
        <f t="shared" si="22"/>
        <v>00/01/yyyy31</v>
      </c>
      <c r="B757" s="171">
        <f t="shared" si="23"/>
        <v>31</v>
      </c>
    </row>
    <row r="758" spans="1:2" ht="30" customHeight="1">
      <c r="A758" s="178" t="str">
        <f t="shared" si="22"/>
        <v>00/01/yyyy32</v>
      </c>
      <c r="B758" s="171">
        <f t="shared" si="23"/>
        <v>32</v>
      </c>
    </row>
    <row r="759" spans="1:2" ht="30" customHeight="1">
      <c r="A759" s="178" t="str">
        <f t="shared" si="22"/>
        <v>00/01/yyyy33</v>
      </c>
      <c r="B759" s="171">
        <f t="shared" si="23"/>
        <v>33</v>
      </c>
    </row>
    <row r="760" spans="1:2" ht="30" customHeight="1">
      <c r="A760" s="178" t="str">
        <f t="shared" si="22"/>
        <v>00/01/yyyy34</v>
      </c>
      <c r="B760" s="171">
        <f t="shared" si="23"/>
        <v>34</v>
      </c>
    </row>
    <row r="761" spans="1:2" ht="30" customHeight="1">
      <c r="A761" s="178" t="str">
        <f t="shared" si="22"/>
        <v>00/01/yyyy35</v>
      </c>
      <c r="B761" s="171">
        <f t="shared" si="23"/>
        <v>35</v>
      </c>
    </row>
    <row r="762" spans="1:2" ht="30" customHeight="1">
      <c r="A762" s="178" t="str">
        <f t="shared" si="22"/>
        <v>00/01/yyyy36</v>
      </c>
      <c r="B762" s="171">
        <f t="shared" si="23"/>
        <v>36</v>
      </c>
    </row>
    <row r="763" spans="1:2" ht="30" customHeight="1">
      <c r="A763" s="178" t="str">
        <f t="shared" si="22"/>
        <v>00/01/yyyy37</v>
      </c>
      <c r="B763" s="171">
        <f t="shared" si="23"/>
        <v>37</v>
      </c>
    </row>
    <row r="764" spans="1:2" ht="30" customHeight="1">
      <c r="A764" s="178" t="str">
        <f t="shared" si="22"/>
        <v>00/01/yyyy38</v>
      </c>
      <c r="B764" s="171">
        <f t="shared" si="23"/>
        <v>38</v>
      </c>
    </row>
    <row r="765" spans="1:2" ht="30" customHeight="1">
      <c r="A765" s="178" t="str">
        <f t="shared" si="22"/>
        <v>00/01/yyyy39</v>
      </c>
      <c r="B765" s="171">
        <f t="shared" si="23"/>
        <v>39</v>
      </c>
    </row>
    <row r="766" spans="1:2" ht="30" customHeight="1">
      <c r="A766" s="178" t="str">
        <f t="shared" si="22"/>
        <v>00/01/yyyy40</v>
      </c>
      <c r="B766" s="171">
        <f t="shared" si="23"/>
        <v>40</v>
      </c>
    </row>
    <row r="767" spans="1:2" ht="30" customHeight="1">
      <c r="A767" s="178" t="str">
        <f t="shared" si="22"/>
        <v>00/01/yyyy41</v>
      </c>
      <c r="B767" s="171">
        <f t="shared" si="23"/>
        <v>41</v>
      </c>
    </row>
    <row r="768" spans="1:2" ht="30" customHeight="1">
      <c r="A768" s="178" t="str">
        <f t="shared" si="22"/>
        <v>00/01/yyyy42</v>
      </c>
      <c r="B768" s="171">
        <f t="shared" si="23"/>
        <v>42</v>
      </c>
    </row>
    <row r="769" spans="1:2" ht="30" customHeight="1">
      <c r="A769" s="178" t="str">
        <f t="shared" si="22"/>
        <v>00/01/yyyy43</v>
      </c>
      <c r="B769" s="171">
        <f t="shared" si="23"/>
        <v>43</v>
      </c>
    </row>
    <row r="770" spans="1:2" ht="30" customHeight="1">
      <c r="A770" s="178" t="str">
        <f t="shared" si="22"/>
        <v>00/01/yyyy44</v>
      </c>
      <c r="B770" s="171">
        <f t="shared" si="23"/>
        <v>44</v>
      </c>
    </row>
    <row r="771" spans="1:2" ht="30" customHeight="1">
      <c r="A771" s="178" t="str">
        <f t="shared" ref="A771:A834" si="24">CONCATENATE(TEXT($G771,"dd/mm/yyyy"),$B771)</f>
        <v>00/01/yyyy45</v>
      </c>
      <c r="B771" s="171">
        <f t="shared" si="23"/>
        <v>45</v>
      </c>
    </row>
    <row r="772" spans="1:2" ht="30" customHeight="1">
      <c r="A772" s="178" t="str">
        <f t="shared" si="24"/>
        <v>00/01/yyyy46</v>
      </c>
      <c r="B772" s="171">
        <f t="shared" ref="B772:B835" si="25">IF($G772=$G771,$B771+1,1)</f>
        <v>46</v>
      </c>
    </row>
    <row r="773" spans="1:2" ht="30" customHeight="1">
      <c r="A773" s="178" t="str">
        <f t="shared" si="24"/>
        <v>00/01/yyyy47</v>
      </c>
      <c r="B773" s="171">
        <f t="shared" si="25"/>
        <v>47</v>
      </c>
    </row>
    <row r="774" spans="1:2" ht="30" customHeight="1">
      <c r="A774" s="178" t="str">
        <f t="shared" si="24"/>
        <v>00/01/yyyy48</v>
      </c>
      <c r="B774" s="171">
        <f t="shared" si="25"/>
        <v>48</v>
      </c>
    </row>
    <row r="775" spans="1:2" ht="30" customHeight="1">
      <c r="A775" s="178" t="str">
        <f t="shared" si="24"/>
        <v>00/01/yyyy49</v>
      </c>
      <c r="B775" s="171">
        <f t="shared" si="25"/>
        <v>49</v>
      </c>
    </row>
    <row r="776" spans="1:2" ht="30" customHeight="1">
      <c r="A776" s="178" t="str">
        <f t="shared" si="24"/>
        <v>00/01/yyyy50</v>
      </c>
      <c r="B776" s="171">
        <f t="shared" si="25"/>
        <v>50</v>
      </c>
    </row>
    <row r="777" spans="1:2" ht="30" customHeight="1">
      <c r="A777" s="178" t="str">
        <f t="shared" si="24"/>
        <v>00/01/yyyy51</v>
      </c>
      <c r="B777" s="171">
        <f t="shared" si="25"/>
        <v>51</v>
      </c>
    </row>
    <row r="778" spans="1:2" ht="30" customHeight="1">
      <c r="A778" s="178" t="str">
        <f t="shared" si="24"/>
        <v>00/01/yyyy52</v>
      </c>
      <c r="B778" s="171">
        <f t="shared" si="25"/>
        <v>52</v>
      </c>
    </row>
    <row r="779" spans="1:2" ht="30" customHeight="1">
      <c r="A779" s="178" t="str">
        <f t="shared" si="24"/>
        <v>00/01/yyyy53</v>
      </c>
      <c r="B779" s="171">
        <f t="shared" si="25"/>
        <v>53</v>
      </c>
    </row>
    <row r="780" spans="1:2" ht="30" customHeight="1">
      <c r="A780" s="178" t="str">
        <f t="shared" si="24"/>
        <v>00/01/yyyy54</v>
      </c>
      <c r="B780" s="171">
        <f t="shared" si="25"/>
        <v>54</v>
      </c>
    </row>
    <row r="781" spans="1:2" ht="30" customHeight="1">
      <c r="A781" s="178" t="str">
        <f t="shared" si="24"/>
        <v>00/01/yyyy55</v>
      </c>
      <c r="B781" s="171">
        <f t="shared" si="25"/>
        <v>55</v>
      </c>
    </row>
    <row r="782" spans="1:2" ht="30" customHeight="1">
      <c r="A782" s="178" t="str">
        <f t="shared" si="24"/>
        <v>00/01/yyyy56</v>
      </c>
      <c r="B782" s="171">
        <f t="shared" si="25"/>
        <v>56</v>
      </c>
    </row>
    <row r="783" spans="1:2" ht="30" customHeight="1">
      <c r="A783" s="178" t="str">
        <f t="shared" si="24"/>
        <v>00/01/yyyy57</v>
      </c>
      <c r="B783" s="171">
        <f t="shared" si="25"/>
        <v>57</v>
      </c>
    </row>
    <row r="784" spans="1:2" ht="30" customHeight="1">
      <c r="A784" s="178" t="str">
        <f t="shared" si="24"/>
        <v>00/01/yyyy58</v>
      </c>
      <c r="B784" s="171">
        <f t="shared" si="25"/>
        <v>58</v>
      </c>
    </row>
    <row r="785" spans="1:2" ht="30" customHeight="1">
      <c r="A785" s="178" t="str">
        <f t="shared" si="24"/>
        <v>00/01/yyyy59</v>
      </c>
      <c r="B785" s="171">
        <f t="shared" si="25"/>
        <v>59</v>
      </c>
    </row>
    <row r="786" spans="1:2" ht="30" customHeight="1">
      <c r="A786" s="178" t="str">
        <f t="shared" si="24"/>
        <v>00/01/yyyy60</v>
      </c>
      <c r="B786" s="171">
        <f t="shared" si="25"/>
        <v>60</v>
      </c>
    </row>
    <row r="787" spans="1:2" ht="30" customHeight="1">
      <c r="A787" s="178" t="str">
        <f t="shared" si="24"/>
        <v>00/01/yyyy61</v>
      </c>
      <c r="B787" s="171">
        <f t="shared" si="25"/>
        <v>61</v>
      </c>
    </row>
    <row r="788" spans="1:2" ht="30" customHeight="1">
      <c r="A788" s="178" t="str">
        <f t="shared" si="24"/>
        <v>00/01/yyyy62</v>
      </c>
      <c r="B788" s="171">
        <f t="shared" si="25"/>
        <v>62</v>
      </c>
    </row>
    <row r="789" spans="1:2" ht="30" customHeight="1">
      <c r="A789" s="178" t="str">
        <f t="shared" si="24"/>
        <v>00/01/yyyy63</v>
      </c>
      <c r="B789" s="171">
        <f t="shared" si="25"/>
        <v>63</v>
      </c>
    </row>
    <row r="790" spans="1:2" ht="30" customHeight="1">
      <c r="A790" s="178" t="str">
        <f t="shared" si="24"/>
        <v>00/01/yyyy64</v>
      </c>
      <c r="B790" s="171">
        <f t="shared" si="25"/>
        <v>64</v>
      </c>
    </row>
    <row r="791" spans="1:2" ht="30" customHeight="1">
      <c r="A791" s="178" t="str">
        <f t="shared" si="24"/>
        <v>00/01/yyyy65</v>
      </c>
      <c r="B791" s="171">
        <f t="shared" si="25"/>
        <v>65</v>
      </c>
    </row>
    <row r="792" spans="1:2" ht="30" customHeight="1">
      <c r="A792" s="178" t="str">
        <f t="shared" si="24"/>
        <v>00/01/yyyy66</v>
      </c>
      <c r="B792" s="171">
        <f t="shared" si="25"/>
        <v>66</v>
      </c>
    </row>
    <row r="793" spans="1:2" ht="30" customHeight="1">
      <c r="A793" s="178" t="str">
        <f t="shared" si="24"/>
        <v>00/01/yyyy67</v>
      </c>
      <c r="B793" s="171">
        <f t="shared" si="25"/>
        <v>67</v>
      </c>
    </row>
    <row r="794" spans="1:2" ht="30" customHeight="1">
      <c r="A794" s="178" t="str">
        <f t="shared" si="24"/>
        <v>00/01/yyyy68</v>
      </c>
      <c r="B794" s="171">
        <f t="shared" si="25"/>
        <v>68</v>
      </c>
    </row>
    <row r="795" spans="1:2" ht="30" customHeight="1">
      <c r="A795" s="178" t="str">
        <f t="shared" si="24"/>
        <v>00/01/yyyy69</v>
      </c>
      <c r="B795" s="171">
        <f t="shared" si="25"/>
        <v>69</v>
      </c>
    </row>
    <row r="796" spans="1:2" ht="30" customHeight="1">
      <c r="A796" s="178" t="str">
        <f t="shared" si="24"/>
        <v>00/01/yyyy70</v>
      </c>
      <c r="B796" s="171">
        <f t="shared" si="25"/>
        <v>70</v>
      </c>
    </row>
    <row r="797" spans="1:2" ht="30" customHeight="1">
      <c r="A797" s="178" t="str">
        <f t="shared" si="24"/>
        <v>00/01/yyyy71</v>
      </c>
      <c r="B797" s="171">
        <f t="shared" si="25"/>
        <v>71</v>
      </c>
    </row>
    <row r="798" spans="1:2" ht="30" customHeight="1">
      <c r="A798" s="178" t="str">
        <f t="shared" si="24"/>
        <v>00/01/yyyy72</v>
      </c>
      <c r="B798" s="171">
        <f t="shared" si="25"/>
        <v>72</v>
      </c>
    </row>
    <row r="799" spans="1:2" ht="30" customHeight="1">
      <c r="A799" s="178" t="str">
        <f t="shared" si="24"/>
        <v>00/01/yyyy73</v>
      </c>
      <c r="B799" s="171">
        <f t="shared" si="25"/>
        <v>73</v>
      </c>
    </row>
    <row r="800" spans="1:2" ht="30" customHeight="1">
      <c r="A800" s="178" t="str">
        <f t="shared" si="24"/>
        <v>00/01/yyyy74</v>
      </c>
      <c r="B800" s="171">
        <f t="shared" si="25"/>
        <v>74</v>
      </c>
    </row>
    <row r="801" spans="1:2" ht="30" customHeight="1">
      <c r="A801" s="178" t="str">
        <f t="shared" si="24"/>
        <v>00/01/yyyy75</v>
      </c>
      <c r="B801" s="171">
        <f t="shared" si="25"/>
        <v>75</v>
      </c>
    </row>
    <row r="802" spans="1:2" ht="30" customHeight="1">
      <c r="A802" s="178" t="str">
        <f t="shared" si="24"/>
        <v>00/01/yyyy76</v>
      </c>
      <c r="B802" s="171">
        <f t="shared" si="25"/>
        <v>76</v>
      </c>
    </row>
    <row r="803" spans="1:2" ht="30" customHeight="1">
      <c r="A803" s="178" t="str">
        <f t="shared" si="24"/>
        <v>00/01/yyyy77</v>
      </c>
      <c r="B803" s="171">
        <f t="shared" si="25"/>
        <v>77</v>
      </c>
    </row>
    <row r="804" spans="1:2" ht="30" customHeight="1">
      <c r="A804" s="178" t="str">
        <f t="shared" si="24"/>
        <v>00/01/yyyy78</v>
      </c>
      <c r="B804" s="171">
        <f t="shared" si="25"/>
        <v>78</v>
      </c>
    </row>
    <row r="805" spans="1:2" ht="30" customHeight="1">
      <c r="A805" s="178" t="str">
        <f t="shared" si="24"/>
        <v>00/01/yyyy79</v>
      </c>
      <c r="B805" s="171">
        <f t="shared" si="25"/>
        <v>79</v>
      </c>
    </row>
    <row r="806" spans="1:2" ht="30" customHeight="1">
      <c r="A806" s="178" t="str">
        <f t="shared" si="24"/>
        <v>00/01/yyyy80</v>
      </c>
      <c r="B806" s="171">
        <f t="shared" si="25"/>
        <v>80</v>
      </c>
    </row>
    <row r="807" spans="1:2" ht="30" customHeight="1">
      <c r="A807" s="178" t="str">
        <f t="shared" si="24"/>
        <v>00/01/yyyy81</v>
      </c>
      <c r="B807" s="171">
        <f t="shared" si="25"/>
        <v>81</v>
      </c>
    </row>
    <row r="808" spans="1:2" ht="30" customHeight="1">
      <c r="A808" s="178" t="str">
        <f t="shared" si="24"/>
        <v>00/01/yyyy82</v>
      </c>
      <c r="B808" s="171">
        <f t="shared" si="25"/>
        <v>82</v>
      </c>
    </row>
    <row r="809" spans="1:2" ht="30" customHeight="1">
      <c r="A809" s="178" t="str">
        <f t="shared" si="24"/>
        <v>00/01/yyyy83</v>
      </c>
      <c r="B809" s="171">
        <f t="shared" si="25"/>
        <v>83</v>
      </c>
    </row>
    <row r="810" spans="1:2" ht="30" customHeight="1">
      <c r="A810" s="178" t="str">
        <f t="shared" si="24"/>
        <v>00/01/yyyy84</v>
      </c>
      <c r="B810" s="171">
        <f t="shared" si="25"/>
        <v>84</v>
      </c>
    </row>
    <row r="811" spans="1:2" ht="30" customHeight="1">
      <c r="A811" s="178" t="str">
        <f t="shared" si="24"/>
        <v>00/01/yyyy85</v>
      </c>
      <c r="B811" s="171">
        <f t="shared" si="25"/>
        <v>85</v>
      </c>
    </row>
    <row r="812" spans="1:2" ht="30" customHeight="1">
      <c r="A812" s="178" t="str">
        <f t="shared" si="24"/>
        <v>00/01/yyyy86</v>
      </c>
      <c r="B812" s="171">
        <f t="shared" si="25"/>
        <v>86</v>
      </c>
    </row>
    <row r="813" spans="1:2" ht="30" customHeight="1">
      <c r="A813" s="178" t="str">
        <f t="shared" si="24"/>
        <v>00/01/yyyy87</v>
      </c>
      <c r="B813" s="171">
        <f t="shared" si="25"/>
        <v>87</v>
      </c>
    </row>
    <row r="814" spans="1:2" ht="30" customHeight="1">
      <c r="A814" s="178" t="str">
        <f t="shared" si="24"/>
        <v>00/01/yyyy88</v>
      </c>
      <c r="B814" s="171">
        <f t="shared" si="25"/>
        <v>88</v>
      </c>
    </row>
    <row r="815" spans="1:2" ht="30" customHeight="1">
      <c r="A815" s="178" t="str">
        <f t="shared" si="24"/>
        <v>00/01/yyyy89</v>
      </c>
      <c r="B815" s="171">
        <f t="shared" si="25"/>
        <v>89</v>
      </c>
    </row>
    <row r="816" spans="1:2" ht="30" customHeight="1">
      <c r="A816" s="178" t="str">
        <f t="shared" si="24"/>
        <v>00/01/yyyy90</v>
      </c>
      <c r="B816" s="171">
        <f t="shared" si="25"/>
        <v>90</v>
      </c>
    </row>
    <row r="817" spans="1:2" ht="30" customHeight="1">
      <c r="A817" s="178" t="str">
        <f t="shared" si="24"/>
        <v>00/01/yyyy91</v>
      </c>
      <c r="B817" s="171">
        <f t="shared" si="25"/>
        <v>91</v>
      </c>
    </row>
    <row r="818" spans="1:2" ht="30" customHeight="1">
      <c r="A818" s="178" t="str">
        <f t="shared" si="24"/>
        <v>00/01/yyyy92</v>
      </c>
      <c r="B818" s="171">
        <f t="shared" si="25"/>
        <v>92</v>
      </c>
    </row>
    <row r="819" spans="1:2" ht="30" customHeight="1">
      <c r="A819" s="178" t="str">
        <f t="shared" si="24"/>
        <v>00/01/yyyy93</v>
      </c>
      <c r="B819" s="171">
        <f t="shared" si="25"/>
        <v>93</v>
      </c>
    </row>
    <row r="820" spans="1:2" ht="30" customHeight="1">
      <c r="A820" s="178" t="str">
        <f t="shared" si="24"/>
        <v>00/01/yyyy94</v>
      </c>
      <c r="B820" s="171">
        <f t="shared" si="25"/>
        <v>94</v>
      </c>
    </row>
    <row r="821" spans="1:2" ht="30" customHeight="1">
      <c r="A821" s="178" t="str">
        <f t="shared" si="24"/>
        <v>00/01/yyyy95</v>
      </c>
      <c r="B821" s="171">
        <f t="shared" si="25"/>
        <v>95</v>
      </c>
    </row>
    <row r="822" spans="1:2" ht="30" customHeight="1">
      <c r="A822" s="178" t="str">
        <f t="shared" si="24"/>
        <v>00/01/yyyy96</v>
      </c>
      <c r="B822" s="171">
        <f t="shared" si="25"/>
        <v>96</v>
      </c>
    </row>
    <row r="823" spans="1:2" ht="30" customHeight="1">
      <c r="A823" s="178" t="str">
        <f t="shared" si="24"/>
        <v>00/01/yyyy97</v>
      </c>
      <c r="B823" s="171">
        <f t="shared" si="25"/>
        <v>97</v>
      </c>
    </row>
    <row r="824" spans="1:2" ht="30" customHeight="1">
      <c r="A824" s="178" t="str">
        <f t="shared" si="24"/>
        <v>00/01/yyyy98</v>
      </c>
      <c r="B824" s="171">
        <f t="shared" si="25"/>
        <v>98</v>
      </c>
    </row>
    <row r="825" spans="1:2" ht="30" customHeight="1">
      <c r="A825" s="178" t="str">
        <f t="shared" si="24"/>
        <v>00/01/yyyy99</v>
      </c>
      <c r="B825" s="171">
        <f t="shared" si="25"/>
        <v>99</v>
      </c>
    </row>
    <row r="826" spans="1:2" ht="30" customHeight="1">
      <c r="A826" s="178" t="str">
        <f t="shared" si="24"/>
        <v>00/01/yyyy100</v>
      </c>
      <c r="B826" s="171">
        <f t="shared" si="25"/>
        <v>100</v>
      </c>
    </row>
    <row r="827" spans="1:2" ht="30" customHeight="1">
      <c r="A827" s="178" t="str">
        <f t="shared" si="24"/>
        <v>00/01/yyyy101</v>
      </c>
      <c r="B827" s="171">
        <f t="shared" si="25"/>
        <v>101</v>
      </c>
    </row>
    <row r="828" spans="1:2" ht="30" customHeight="1">
      <c r="A828" s="178" t="str">
        <f t="shared" si="24"/>
        <v>00/01/yyyy102</v>
      </c>
      <c r="B828" s="171">
        <f t="shared" si="25"/>
        <v>102</v>
      </c>
    </row>
    <row r="829" spans="1:2" ht="30" customHeight="1">
      <c r="A829" s="178" t="str">
        <f t="shared" si="24"/>
        <v>00/01/yyyy103</v>
      </c>
      <c r="B829" s="171">
        <f t="shared" si="25"/>
        <v>103</v>
      </c>
    </row>
    <row r="830" spans="1:2" ht="30" customHeight="1">
      <c r="A830" s="178" t="str">
        <f t="shared" si="24"/>
        <v>00/01/yyyy104</v>
      </c>
      <c r="B830" s="171">
        <f t="shared" si="25"/>
        <v>104</v>
      </c>
    </row>
    <row r="831" spans="1:2" ht="30" customHeight="1">
      <c r="A831" s="178" t="str">
        <f t="shared" si="24"/>
        <v>00/01/yyyy105</v>
      </c>
      <c r="B831" s="171">
        <f t="shared" si="25"/>
        <v>105</v>
      </c>
    </row>
    <row r="832" spans="1:2" ht="30" customHeight="1">
      <c r="A832" s="178" t="str">
        <f t="shared" si="24"/>
        <v>00/01/yyyy106</v>
      </c>
      <c r="B832" s="171">
        <f t="shared" si="25"/>
        <v>106</v>
      </c>
    </row>
    <row r="833" spans="1:2" ht="30" customHeight="1">
      <c r="A833" s="178" t="str">
        <f t="shared" si="24"/>
        <v>00/01/yyyy107</v>
      </c>
      <c r="B833" s="171">
        <f t="shared" si="25"/>
        <v>107</v>
      </c>
    </row>
    <row r="834" spans="1:2" ht="30" customHeight="1">
      <c r="A834" s="178" t="str">
        <f t="shared" si="24"/>
        <v>00/01/yyyy108</v>
      </c>
      <c r="B834" s="171">
        <f t="shared" si="25"/>
        <v>108</v>
      </c>
    </row>
    <row r="835" spans="1:2" ht="30" customHeight="1">
      <c r="A835" s="178" t="str">
        <f t="shared" ref="A835:A898" si="26">CONCATENATE(TEXT($G835,"dd/mm/yyyy"),$B835)</f>
        <v>00/01/yyyy109</v>
      </c>
      <c r="B835" s="171">
        <f t="shared" si="25"/>
        <v>109</v>
      </c>
    </row>
    <row r="836" spans="1:2" ht="30" customHeight="1">
      <c r="A836" s="178" t="str">
        <f t="shared" si="26"/>
        <v>00/01/yyyy110</v>
      </c>
      <c r="B836" s="171">
        <f t="shared" ref="B836:B899" si="27">IF($G836=$G835,$B835+1,1)</f>
        <v>110</v>
      </c>
    </row>
    <row r="837" spans="1:2" ht="30" customHeight="1">
      <c r="A837" s="178" t="str">
        <f t="shared" si="26"/>
        <v>00/01/yyyy111</v>
      </c>
      <c r="B837" s="171">
        <f t="shared" si="27"/>
        <v>111</v>
      </c>
    </row>
    <row r="838" spans="1:2" ht="30" customHeight="1">
      <c r="A838" s="178" t="str">
        <f t="shared" si="26"/>
        <v>00/01/yyyy112</v>
      </c>
      <c r="B838" s="171">
        <f t="shared" si="27"/>
        <v>112</v>
      </c>
    </row>
    <row r="839" spans="1:2" ht="30" customHeight="1">
      <c r="A839" s="178" t="str">
        <f t="shared" si="26"/>
        <v>00/01/yyyy113</v>
      </c>
      <c r="B839" s="171">
        <f t="shared" si="27"/>
        <v>113</v>
      </c>
    </row>
    <row r="840" spans="1:2" ht="30" customHeight="1">
      <c r="A840" s="178" t="str">
        <f t="shared" si="26"/>
        <v>00/01/yyyy114</v>
      </c>
      <c r="B840" s="171">
        <f t="shared" si="27"/>
        <v>114</v>
      </c>
    </row>
    <row r="841" spans="1:2" ht="30" customHeight="1">
      <c r="A841" s="178" t="str">
        <f t="shared" si="26"/>
        <v>00/01/yyyy115</v>
      </c>
      <c r="B841" s="171">
        <f t="shared" si="27"/>
        <v>115</v>
      </c>
    </row>
    <row r="842" spans="1:2" ht="30" customHeight="1">
      <c r="A842" s="178" t="str">
        <f t="shared" si="26"/>
        <v>00/01/yyyy116</v>
      </c>
      <c r="B842" s="171">
        <f t="shared" si="27"/>
        <v>116</v>
      </c>
    </row>
    <row r="843" spans="1:2" ht="30" customHeight="1">
      <c r="A843" s="178" t="str">
        <f t="shared" si="26"/>
        <v>00/01/yyyy117</v>
      </c>
      <c r="B843" s="171">
        <f t="shared" si="27"/>
        <v>117</v>
      </c>
    </row>
    <row r="844" spans="1:2" ht="30" customHeight="1">
      <c r="A844" s="178" t="str">
        <f t="shared" si="26"/>
        <v>00/01/yyyy118</v>
      </c>
      <c r="B844" s="171">
        <f t="shared" si="27"/>
        <v>118</v>
      </c>
    </row>
    <row r="845" spans="1:2" ht="30" customHeight="1">
      <c r="A845" s="178" t="str">
        <f t="shared" si="26"/>
        <v>00/01/yyyy119</v>
      </c>
      <c r="B845" s="171">
        <f t="shared" si="27"/>
        <v>119</v>
      </c>
    </row>
    <row r="846" spans="1:2" ht="30" customHeight="1">
      <c r="A846" s="178" t="str">
        <f t="shared" si="26"/>
        <v>00/01/yyyy120</v>
      </c>
      <c r="B846" s="171">
        <f t="shared" si="27"/>
        <v>120</v>
      </c>
    </row>
    <row r="847" spans="1:2" ht="30" customHeight="1">
      <c r="A847" s="178" t="str">
        <f t="shared" si="26"/>
        <v>00/01/yyyy121</v>
      </c>
      <c r="B847" s="171">
        <f t="shared" si="27"/>
        <v>121</v>
      </c>
    </row>
    <row r="848" spans="1:2" ht="30" customHeight="1">
      <c r="A848" s="178" t="str">
        <f t="shared" si="26"/>
        <v>00/01/yyyy122</v>
      </c>
      <c r="B848" s="171">
        <f t="shared" si="27"/>
        <v>122</v>
      </c>
    </row>
    <row r="849" spans="1:2" ht="30" customHeight="1">
      <c r="A849" s="178" t="str">
        <f t="shared" si="26"/>
        <v>00/01/yyyy123</v>
      </c>
      <c r="B849" s="171">
        <f t="shared" si="27"/>
        <v>123</v>
      </c>
    </row>
    <row r="850" spans="1:2" ht="30" customHeight="1">
      <c r="A850" s="178" t="str">
        <f t="shared" si="26"/>
        <v>00/01/yyyy124</v>
      </c>
      <c r="B850" s="171">
        <f t="shared" si="27"/>
        <v>124</v>
      </c>
    </row>
    <row r="851" spans="1:2" ht="30" customHeight="1">
      <c r="A851" s="178" t="str">
        <f t="shared" si="26"/>
        <v>00/01/yyyy125</v>
      </c>
      <c r="B851" s="171">
        <f t="shared" si="27"/>
        <v>125</v>
      </c>
    </row>
    <row r="852" spans="1:2" ht="30" customHeight="1">
      <c r="A852" s="178" t="str">
        <f t="shared" si="26"/>
        <v>00/01/yyyy126</v>
      </c>
      <c r="B852" s="171">
        <f t="shared" si="27"/>
        <v>126</v>
      </c>
    </row>
    <row r="853" spans="1:2" ht="30" customHeight="1">
      <c r="A853" s="178" t="str">
        <f t="shared" si="26"/>
        <v>00/01/yyyy127</v>
      </c>
      <c r="B853" s="171">
        <f t="shared" si="27"/>
        <v>127</v>
      </c>
    </row>
    <row r="854" spans="1:2" ht="30" customHeight="1">
      <c r="A854" s="178" t="str">
        <f t="shared" si="26"/>
        <v>00/01/yyyy128</v>
      </c>
      <c r="B854" s="171">
        <f t="shared" si="27"/>
        <v>128</v>
      </c>
    </row>
    <row r="855" spans="1:2" ht="30" customHeight="1">
      <c r="A855" s="178" t="str">
        <f t="shared" si="26"/>
        <v>00/01/yyyy129</v>
      </c>
      <c r="B855" s="171">
        <f t="shared" si="27"/>
        <v>129</v>
      </c>
    </row>
    <row r="856" spans="1:2" ht="30" customHeight="1">
      <c r="A856" s="178" t="str">
        <f t="shared" si="26"/>
        <v>00/01/yyyy130</v>
      </c>
      <c r="B856" s="171">
        <f t="shared" si="27"/>
        <v>130</v>
      </c>
    </row>
    <row r="857" spans="1:2" ht="30" customHeight="1">
      <c r="A857" s="178" t="str">
        <f t="shared" si="26"/>
        <v>00/01/yyyy131</v>
      </c>
      <c r="B857" s="171">
        <f t="shared" si="27"/>
        <v>131</v>
      </c>
    </row>
    <row r="858" spans="1:2" ht="30" customHeight="1">
      <c r="A858" s="178" t="str">
        <f t="shared" si="26"/>
        <v>00/01/yyyy132</v>
      </c>
      <c r="B858" s="171">
        <f t="shared" si="27"/>
        <v>132</v>
      </c>
    </row>
    <row r="859" spans="1:2" ht="30" customHeight="1">
      <c r="A859" s="178" t="str">
        <f t="shared" si="26"/>
        <v>00/01/yyyy133</v>
      </c>
      <c r="B859" s="171">
        <f t="shared" si="27"/>
        <v>133</v>
      </c>
    </row>
    <row r="860" spans="1:2" ht="30" customHeight="1">
      <c r="A860" s="178" t="str">
        <f t="shared" si="26"/>
        <v>00/01/yyyy134</v>
      </c>
      <c r="B860" s="171">
        <f t="shared" si="27"/>
        <v>134</v>
      </c>
    </row>
    <row r="861" spans="1:2" ht="30" customHeight="1">
      <c r="A861" s="178" t="str">
        <f t="shared" si="26"/>
        <v>00/01/yyyy135</v>
      </c>
      <c r="B861" s="171">
        <f t="shared" si="27"/>
        <v>135</v>
      </c>
    </row>
    <row r="862" spans="1:2" ht="30" customHeight="1">
      <c r="A862" s="178" t="str">
        <f t="shared" si="26"/>
        <v>00/01/yyyy136</v>
      </c>
      <c r="B862" s="171">
        <f t="shared" si="27"/>
        <v>136</v>
      </c>
    </row>
    <row r="863" spans="1:2" ht="30" customHeight="1">
      <c r="A863" s="178" t="str">
        <f t="shared" si="26"/>
        <v>00/01/yyyy137</v>
      </c>
      <c r="B863" s="171">
        <f t="shared" si="27"/>
        <v>137</v>
      </c>
    </row>
    <row r="864" spans="1:2" ht="30" customHeight="1">
      <c r="A864" s="178" t="str">
        <f t="shared" si="26"/>
        <v>00/01/yyyy138</v>
      </c>
      <c r="B864" s="171">
        <f t="shared" si="27"/>
        <v>138</v>
      </c>
    </row>
    <row r="865" spans="1:2" ht="30" customHeight="1">
      <c r="A865" s="178" t="str">
        <f t="shared" si="26"/>
        <v>00/01/yyyy139</v>
      </c>
      <c r="B865" s="171">
        <f t="shared" si="27"/>
        <v>139</v>
      </c>
    </row>
    <row r="866" spans="1:2" ht="30" customHeight="1">
      <c r="A866" s="178" t="str">
        <f t="shared" si="26"/>
        <v>00/01/yyyy140</v>
      </c>
      <c r="B866" s="171">
        <f t="shared" si="27"/>
        <v>140</v>
      </c>
    </row>
    <row r="867" spans="1:2" ht="30" customHeight="1">
      <c r="A867" s="178" t="str">
        <f t="shared" si="26"/>
        <v>00/01/yyyy141</v>
      </c>
      <c r="B867" s="171">
        <f t="shared" si="27"/>
        <v>141</v>
      </c>
    </row>
    <row r="868" spans="1:2" ht="30" customHeight="1">
      <c r="A868" s="178" t="str">
        <f t="shared" si="26"/>
        <v>00/01/yyyy142</v>
      </c>
      <c r="B868" s="171">
        <f t="shared" si="27"/>
        <v>142</v>
      </c>
    </row>
    <row r="869" spans="1:2" ht="30" customHeight="1">
      <c r="A869" s="178" t="str">
        <f t="shared" si="26"/>
        <v>00/01/yyyy143</v>
      </c>
      <c r="B869" s="171">
        <f t="shared" si="27"/>
        <v>143</v>
      </c>
    </row>
    <row r="870" spans="1:2" ht="30" customHeight="1">
      <c r="A870" s="178" t="str">
        <f t="shared" si="26"/>
        <v>00/01/yyyy144</v>
      </c>
      <c r="B870" s="171">
        <f t="shared" si="27"/>
        <v>144</v>
      </c>
    </row>
    <row r="871" spans="1:2" ht="30" customHeight="1">
      <c r="A871" s="178" t="str">
        <f t="shared" si="26"/>
        <v>00/01/yyyy145</v>
      </c>
      <c r="B871" s="171">
        <f t="shared" si="27"/>
        <v>145</v>
      </c>
    </row>
    <row r="872" spans="1:2" ht="30" customHeight="1">
      <c r="A872" s="178" t="str">
        <f t="shared" si="26"/>
        <v>00/01/yyyy146</v>
      </c>
      <c r="B872" s="171">
        <f t="shared" si="27"/>
        <v>146</v>
      </c>
    </row>
    <row r="873" spans="1:2" ht="30" customHeight="1">
      <c r="A873" s="178" t="str">
        <f t="shared" si="26"/>
        <v>00/01/yyyy147</v>
      </c>
      <c r="B873" s="171">
        <f t="shared" si="27"/>
        <v>147</v>
      </c>
    </row>
    <row r="874" spans="1:2" ht="30" customHeight="1">
      <c r="A874" s="178" t="str">
        <f t="shared" si="26"/>
        <v>00/01/yyyy148</v>
      </c>
      <c r="B874" s="171">
        <f t="shared" si="27"/>
        <v>148</v>
      </c>
    </row>
    <row r="875" spans="1:2" ht="30" customHeight="1">
      <c r="A875" s="178" t="str">
        <f t="shared" si="26"/>
        <v>00/01/yyyy149</v>
      </c>
      <c r="B875" s="171">
        <f t="shared" si="27"/>
        <v>149</v>
      </c>
    </row>
    <row r="876" spans="1:2" ht="30" customHeight="1">
      <c r="A876" s="178" t="str">
        <f t="shared" si="26"/>
        <v>00/01/yyyy150</v>
      </c>
      <c r="B876" s="171">
        <f t="shared" si="27"/>
        <v>150</v>
      </c>
    </row>
    <row r="877" spans="1:2" ht="30" customHeight="1">
      <c r="A877" s="178" t="str">
        <f t="shared" si="26"/>
        <v>00/01/yyyy151</v>
      </c>
      <c r="B877" s="171">
        <f t="shared" si="27"/>
        <v>151</v>
      </c>
    </row>
    <row r="878" spans="1:2" ht="30" customHeight="1">
      <c r="A878" s="178" t="str">
        <f t="shared" si="26"/>
        <v>00/01/yyyy152</v>
      </c>
      <c r="B878" s="171">
        <f t="shared" si="27"/>
        <v>152</v>
      </c>
    </row>
    <row r="879" spans="1:2" ht="30" customHeight="1">
      <c r="A879" s="178" t="str">
        <f t="shared" si="26"/>
        <v>00/01/yyyy153</v>
      </c>
      <c r="B879" s="171">
        <f t="shared" si="27"/>
        <v>153</v>
      </c>
    </row>
    <row r="880" spans="1:2" ht="30" customHeight="1">
      <c r="A880" s="178" t="str">
        <f t="shared" si="26"/>
        <v>00/01/yyyy154</v>
      </c>
      <c r="B880" s="171">
        <f t="shared" si="27"/>
        <v>154</v>
      </c>
    </row>
    <row r="881" spans="1:2" ht="30" customHeight="1">
      <c r="A881" s="178" t="str">
        <f t="shared" si="26"/>
        <v>00/01/yyyy155</v>
      </c>
      <c r="B881" s="171">
        <f t="shared" si="27"/>
        <v>155</v>
      </c>
    </row>
    <row r="882" spans="1:2" ht="30" customHeight="1">
      <c r="A882" s="178" t="str">
        <f t="shared" si="26"/>
        <v>00/01/yyyy156</v>
      </c>
      <c r="B882" s="171">
        <f t="shared" si="27"/>
        <v>156</v>
      </c>
    </row>
    <row r="883" spans="1:2" ht="30" customHeight="1">
      <c r="A883" s="178" t="str">
        <f t="shared" si="26"/>
        <v>00/01/yyyy157</v>
      </c>
      <c r="B883" s="171">
        <f t="shared" si="27"/>
        <v>157</v>
      </c>
    </row>
    <row r="884" spans="1:2" ht="30" customHeight="1">
      <c r="A884" s="178" t="str">
        <f t="shared" si="26"/>
        <v>00/01/yyyy158</v>
      </c>
      <c r="B884" s="171">
        <f t="shared" si="27"/>
        <v>158</v>
      </c>
    </row>
    <row r="885" spans="1:2" ht="30" customHeight="1">
      <c r="A885" s="178" t="str">
        <f t="shared" si="26"/>
        <v>00/01/yyyy159</v>
      </c>
      <c r="B885" s="171">
        <f t="shared" si="27"/>
        <v>159</v>
      </c>
    </row>
    <row r="886" spans="1:2" ht="30" customHeight="1">
      <c r="A886" s="178" t="str">
        <f t="shared" si="26"/>
        <v>00/01/yyyy160</v>
      </c>
      <c r="B886" s="171">
        <f t="shared" si="27"/>
        <v>160</v>
      </c>
    </row>
    <row r="887" spans="1:2" ht="30" customHeight="1">
      <c r="A887" s="178" t="str">
        <f t="shared" si="26"/>
        <v>00/01/yyyy161</v>
      </c>
      <c r="B887" s="171">
        <f t="shared" si="27"/>
        <v>161</v>
      </c>
    </row>
    <row r="888" spans="1:2" ht="30" customHeight="1">
      <c r="A888" s="178" t="str">
        <f t="shared" si="26"/>
        <v>00/01/yyyy162</v>
      </c>
      <c r="B888" s="171">
        <f t="shared" si="27"/>
        <v>162</v>
      </c>
    </row>
    <row r="889" spans="1:2" ht="30" customHeight="1">
      <c r="A889" s="178" t="str">
        <f t="shared" si="26"/>
        <v>00/01/yyyy163</v>
      </c>
      <c r="B889" s="171">
        <f t="shared" si="27"/>
        <v>163</v>
      </c>
    </row>
    <row r="890" spans="1:2" ht="30" customHeight="1">
      <c r="A890" s="178" t="str">
        <f t="shared" si="26"/>
        <v>00/01/yyyy164</v>
      </c>
      <c r="B890" s="171">
        <f t="shared" si="27"/>
        <v>164</v>
      </c>
    </row>
    <row r="891" spans="1:2" ht="30" customHeight="1">
      <c r="A891" s="178" t="str">
        <f t="shared" si="26"/>
        <v>00/01/yyyy165</v>
      </c>
      <c r="B891" s="171">
        <f t="shared" si="27"/>
        <v>165</v>
      </c>
    </row>
    <row r="892" spans="1:2" ht="30" customHeight="1">
      <c r="A892" s="178" t="str">
        <f t="shared" si="26"/>
        <v>00/01/yyyy166</v>
      </c>
      <c r="B892" s="171">
        <f t="shared" si="27"/>
        <v>166</v>
      </c>
    </row>
    <row r="893" spans="1:2" ht="30" customHeight="1">
      <c r="A893" s="178" t="str">
        <f t="shared" si="26"/>
        <v>00/01/yyyy167</v>
      </c>
      <c r="B893" s="171">
        <f t="shared" si="27"/>
        <v>167</v>
      </c>
    </row>
    <row r="894" spans="1:2" ht="30" customHeight="1">
      <c r="A894" s="178" t="str">
        <f t="shared" si="26"/>
        <v>00/01/yyyy168</v>
      </c>
      <c r="B894" s="171">
        <f t="shared" si="27"/>
        <v>168</v>
      </c>
    </row>
    <row r="895" spans="1:2" ht="30" customHeight="1">
      <c r="A895" s="178" t="str">
        <f t="shared" si="26"/>
        <v>00/01/yyyy169</v>
      </c>
      <c r="B895" s="171">
        <f t="shared" si="27"/>
        <v>169</v>
      </c>
    </row>
    <row r="896" spans="1:2" ht="30" customHeight="1">
      <c r="A896" s="178" t="str">
        <f t="shared" si="26"/>
        <v>00/01/yyyy170</v>
      </c>
      <c r="B896" s="171">
        <f t="shared" si="27"/>
        <v>170</v>
      </c>
    </row>
    <row r="897" spans="1:2" ht="30" customHeight="1">
      <c r="A897" s="178" t="str">
        <f t="shared" si="26"/>
        <v>00/01/yyyy171</v>
      </c>
      <c r="B897" s="171">
        <f t="shared" si="27"/>
        <v>171</v>
      </c>
    </row>
    <row r="898" spans="1:2" ht="30" customHeight="1">
      <c r="A898" s="178" t="str">
        <f t="shared" si="26"/>
        <v>00/01/yyyy172</v>
      </c>
      <c r="B898" s="171">
        <f t="shared" si="27"/>
        <v>172</v>
      </c>
    </row>
    <row r="899" spans="1:2" ht="30" customHeight="1">
      <c r="A899" s="178" t="str">
        <f t="shared" ref="A899:A962" si="28">CONCATENATE(TEXT($G899,"dd/mm/yyyy"),$B899)</f>
        <v>00/01/yyyy173</v>
      </c>
      <c r="B899" s="171">
        <f t="shared" si="27"/>
        <v>173</v>
      </c>
    </row>
    <row r="900" spans="1:2" ht="30" customHeight="1">
      <c r="A900" s="178" t="str">
        <f t="shared" si="28"/>
        <v>00/01/yyyy174</v>
      </c>
      <c r="B900" s="171">
        <f t="shared" ref="B900:B963" si="29">IF($G900=$G899,$B899+1,1)</f>
        <v>174</v>
      </c>
    </row>
    <row r="901" spans="1:2" ht="30" customHeight="1">
      <c r="A901" s="178" t="str">
        <f t="shared" si="28"/>
        <v>00/01/yyyy175</v>
      </c>
      <c r="B901" s="171">
        <f t="shared" si="29"/>
        <v>175</v>
      </c>
    </row>
    <row r="902" spans="1:2" ht="30" customHeight="1">
      <c r="A902" s="178" t="str">
        <f t="shared" si="28"/>
        <v>00/01/yyyy176</v>
      </c>
      <c r="B902" s="171">
        <f t="shared" si="29"/>
        <v>176</v>
      </c>
    </row>
    <row r="903" spans="1:2" ht="30" customHeight="1">
      <c r="A903" s="178" t="str">
        <f t="shared" si="28"/>
        <v>00/01/yyyy177</v>
      </c>
      <c r="B903" s="171">
        <f t="shared" si="29"/>
        <v>177</v>
      </c>
    </row>
    <row r="904" spans="1:2" ht="30" customHeight="1">
      <c r="A904" s="178" t="str">
        <f t="shared" si="28"/>
        <v>00/01/yyyy178</v>
      </c>
      <c r="B904" s="171">
        <f t="shared" si="29"/>
        <v>178</v>
      </c>
    </row>
    <row r="905" spans="1:2" ht="30" customHeight="1">
      <c r="A905" s="178" t="str">
        <f t="shared" si="28"/>
        <v>00/01/yyyy179</v>
      </c>
      <c r="B905" s="171">
        <f t="shared" si="29"/>
        <v>179</v>
      </c>
    </row>
    <row r="906" spans="1:2" ht="30" customHeight="1">
      <c r="A906" s="178" t="str">
        <f t="shared" si="28"/>
        <v>00/01/yyyy180</v>
      </c>
      <c r="B906" s="171">
        <f t="shared" si="29"/>
        <v>180</v>
      </c>
    </row>
    <row r="907" spans="1:2" ht="30" customHeight="1">
      <c r="A907" s="178" t="str">
        <f t="shared" si="28"/>
        <v>00/01/yyyy181</v>
      </c>
      <c r="B907" s="171">
        <f t="shared" si="29"/>
        <v>181</v>
      </c>
    </row>
    <row r="908" spans="1:2" ht="30" customHeight="1">
      <c r="A908" s="178" t="str">
        <f t="shared" si="28"/>
        <v>00/01/yyyy182</v>
      </c>
      <c r="B908" s="171">
        <f t="shared" si="29"/>
        <v>182</v>
      </c>
    </row>
    <row r="909" spans="1:2" ht="30" customHeight="1">
      <c r="A909" s="178" t="str">
        <f t="shared" si="28"/>
        <v>00/01/yyyy183</v>
      </c>
      <c r="B909" s="171">
        <f t="shared" si="29"/>
        <v>183</v>
      </c>
    </row>
    <row r="910" spans="1:2" ht="30" customHeight="1">
      <c r="A910" s="178" t="str">
        <f t="shared" si="28"/>
        <v>00/01/yyyy184</v>
      </c>
      <c r="B910" s="171">
        <f t="shared" si="29"/>
        <v>184</v>
      </c>
    </row>
    <row r="911" spans="1:2" ht="30" customHeight="1">
      <c r="A911" s="178" t="str">
        <f t="shared" si="28"/>
        <v>00/01/yyyy185</v>
      </c>
      <c r="B911" s="171">
        <f t="shared" si="29"/>
        <v>185</v>
      </c>
    </row>
    <row r="912" spans="1:2" ht="30" customHeight="1">
      <c r="A912" s="178" t="str">
        <f t="shared" si="28"/>
        <v>00/01/yyyy186</v>
      </c>
      <c r="B912" s="171">
        <f t="shared" si="29"/>
        <v>186</v>
      </c>
    </row>
    <row r="913" spans="1:2" ht="30" customHeight="1">
      <c r="A913" s="178" t="str">
        <f t="shared" si="28"/>
        <v>00/01/yyyy187</v>
      </c>
      <c r="B913" s="171">
        <f t="shared" si="29"/>
        <v>187</v>
      </c>
    </row>
    <row r="914" spans="1:2" ht="30" customHeight="1">
      <c r="A914" s="178" t="str">
        <f t="shared" si="28"/>
        <v>00/01/yyyy188</v>
      </c>
      <c r="B914" s="171">
        <f t="shared" si="29"/>
        <v>188</v>
      </c>
    </row>
    <row r="915" spans="1:2" ht="30" customHeight="1">
      <c r="A915" s="178" t="str">
        <f t="shared" si="28"/>
        <v>00/01/yyyy189</v>
      </c>
      <c r="B915" s="171">
        <f t="shared" si="29"/>
        <v>189</v>
      </c>
    </row>
    <row r="916" spans="1:2" ht="30" customHeight="1">
      <c r="A916" s="178" t="str">
        <f t="shared" si="28"/>
        <v>00/01/yyyy190</v>
      </c>
      <c r="B916" s="171">
        <f t="shared" si="29"/>
        <v>190</v>
      </c>
    </row>
    <row r="917" spans="1:2" ht="30" customHeight="1">
      <c r="A917" s="178" t="str">
        <f t="shared" si="28"/>
        <v>00/01/yyyy191</v>
      </c>
      <c r="B917" s="171">
        <f t="shared" si="29"/>
        <v>191</v>
      </c>
    </row>
    <row r="918" spans="1:2" ht="30" customHeight="1">
      <c r="A918" s="178" t="str">
        <f t="shared" si="28"/>
        <v>00/01/yyyy192</v>
      </c>
      <c r="B918" s="171">
        <f t="shared" si="29"/>
        <v>192</v>
      </c>
    </row>
    <row r="919" spans="1:2" ht="30" customHeight="1">
      <c r="A919" s="178" t="str">
        <f t="shared" si="28"/>
        <v>00/01/yyyy193</v>
      </c>
      <c r="B919" s="171">
        <f t="shared" si="29"/>
        <v>193</v>
      </c>
    </row>
    <row r="920" spans="1:2" ht="30" customHeight="1">
      <c r="A920" s="178" t="str">
        <f t="shared" si="28"/>
        <v>00/01/yyyy194</v>
      </c>
      <c r="B920" s="171">
        <f t="shared" si="29"/>
        <v>194</v>
      </c>
    </row>
    <row r="921" spans="1:2" ht="30" customHeight="1">
      <c r="A921" s="178" t="str">
        <f t="shared" si="28"/>
        <v>00/01/yyyy195</v>
      </c>
      <c r="B921" s="171">
        <f t="shared" si="29"/>
        <v>195</v>
      </c>
    </row>
    <row r="922" spans="1:2" ht="30" customHeight="1">
      <c r="A922" s="178" t="str">
        <f t="shared" si="28"/>
        <v>00/01/yyyy196</v>
      </c>
      <c r="B922" s="171">
        <f t="shared" si="29"/>
        <v>196</v>
      </c>
    </row>
    <row r="923" spans="1:2" ht="30" customHeight="1">
      <c r="A923" s="178" t="str">
        <f t="shared" si="28"/>
        <v>00/01/yyyy197</v>
      </c>
      <c r="B923" s="171">
        <f t="shared" si="29"/>
        <v>197</v>
      </c>
    </row>
    <row r="924" spans="1:2" ht="30" customHeight="1">
      <c r="A924" s="178" t="str">
        <f t="shared" si="28"/>
        <v>00/01/yyyy198</v>
      </c>
      <c r="B924" s="171">
        <f t="shared" si="29"/>
        <v>198</v>
      </c>
    </row>
    <row r="925" spans="1:2" ht="30" customHeight="1">
      <c r="A925" s="178" t="str">
        <f t="shared" si="28"/>
        <v>00/01/yyyy199</v>
      </c>
      <c r="B925" s="171">
        <f t="shared" si="29"/>
        <v>199</v>
      </c>
    </row>
    <row r="926" spans="1:2" ht="30" customHeight="1">
      <c r="A926" s="178" t="str">
        <f t="shared" si="28"/>
        <v>00/01/yyyy200</v>
      </c>
      <c r="B926" s="171">
        <f t="shared" si="29"/>
        <v>200</v>
      </c>
    </row>
    <row r="927" spans="1:2" ht="30" customHeight="1">
      <c r="A927" s="178" t="str">
        <f t="shared" si="28"/>
        <v>00/01/yyyy201</v>
      </c>
      <c r="B927" s="171">
        <f t="shared" si="29"/>
        <v>201</v>
      </c>
    </row>
    <row r="928" spans="1:2" ht="30" customHeight="1">
      <c r="A928" s="178" t="str">
        <f t="shared" si="28"/>
        <v>00/01/yyyy202</v>
      </c>
      <c r="B928" s="171">
        <f t="shared" si="29"/>
        <v>202</v>
      </c>
    </row>
    <row r="929" spans="1:2" ht="30" customHeight="1">
      <c r="A929" s="178" t="str">
        <f t="shared" si="28"/>
        <v>00/01/yyyy203</v>
      </c>
      <c r="B929" s="171">
        <f t="shared" si="29"/>
        <v>203</v>
      </c>
    </row>
    <row r="930" spans="1:2" ht="30" customHeight="1">
      <c r="A930" s="178" t="str">
        <f t="shared" si="28"/>
        <v>00/01/yyyy204</v>
      </c>
      <c r="B930" s="171">
        <f t="shared" si="29"/>
        <v>204</v>
      </c>
    </row>
    <row r="931" spans="1:2" ht="30" customHeight="1">
      <c r="A931" s="178" t="str">
        <f t="shared" si="28"/>
        <v>00/01/yyyy205</v>
      </c>
      <c r="B931" s="171">
        <f t="shared" si="29"/>
        <v>205</v>
      </c>
    </row>
    <row r="932" spans="1:2" ht="30" customHeight="1">
      <c r="A932" s="178" t="str">
        <f t="shared" si="28"/>
        <v>00/01/yyyy206</v>
      </c>
      <c r="B932" s="171">
        <f t="shared" si="29"/>
        <v>206</v>
      </c>
    </row>
    <row r="933" spans="1:2" ht="30" customHeight="1">
      <c r="A933" s="178" t="str">
        <f t="shared" si="28"/>
        <v>00/01/yyyy207</v>
      </c>
      <c r="B933" s="171">
        <f t="shared" si="29"/>
        <v>207</v>
      </c>
    </row>
    <row r="934" spans="1:2" ht="30" customHeight="1">
      <c r="A934" s="178" t="str">
        <f t="shared" si="28"/>
        <v>00/01/yyyy208</v>
      </c>
      <c r="B934" s="171">
        <f t="shared" si="29"/>
        <v>208</v>
      </c>
    </row>
    <row r="935" spans="1:2" ht="30" customHeight="1">
      <c r="A935" s="178" t="str">
        <f t="shared" si="28"/>
        <v>00/01/yyyy209</v>
      </c>
      <c r="B935" s="171">
        <f t="shared" si="29"/>
        <v>209</v>
      </c>
    </row>
    <row r="936" spans="1:2" ht="30" customHeight="1">
      <c r="A936" s="178" t="str">
        <f t="shared" si="28"/>
        <v>00/01/yyyy210</v>
      </c>
      <c r="B936" s="171">
        <f t="shared" si="29"/>
        <v>210</v>
      </c>
    </row>
    <row r="937" spans="1:2" ht="30" customHeight="1">
      <c r="A937" s="178" t="str">
        <f t="shared" si="28"/>
        <v>00/01/yyyy211</v>
      </c>
      <c r="B937" s="171">
        <f t="shared" si="29"/>
        <v>211</v>
      </c>
    </row>
    <row r="938" spans="1:2" ht="30" customHeight="1">
      <c r="A938" s="178" t="str">
        <f t="shared" si="28"/>
        <v>00/01/yyyy212</v>
      </c>
      <c r="B938" s="171">
        <f t="shared" si="29"/>
        <v>212</v>
      </c>
    </row>
    <row r="939" spans="1:2" ht="30" customHeight="1">
      <c r="A939" s="178" t="str">
        <f t="shared" si="28"/>
        <v>00/01/yyyy213</v>
      </c>
      <c r="B939" s="171">
        <f t="shared" si="29"/>
        <v>213</v>
      </c>
    </row>
    <row r="940" spans="1:2" ht="30" customHeight="1">
      <c r="A940" s="178" t="str">
        <f t="shared" si="28"/>
        <v>00/01/yyyy214</v>
      </c>
      <c r="B940" s="171">
        <f t="shared" si="29"/>
        <v>214</v>
      </c>
    </row>
    <row r="941" spans="1:2" ht="30" customHeight="1">
      <c r="A941" s="178" t="str">
        <f t="shared" si="28"/>
        <v>00/01/yyyy215</v>
      </c>
      <c r="B941" s="171">
        <f t="shared" si="29"/>
        <v>215</v>
      </c>
    </row>
    <row r="942" spans="1:2" ht="30" customHeight="1">
      <c r="A942" s="178" t="str">
        <f t="shared" si="28"/>
        <v>00/01/yyyy216</v>
      </c>
      <c r="B942" s="171">
        <f t="shared" si="29"/>
        <v>216</v>
      </c>
    </row>
    <row r="943" spans="1:2" ht="30" customHeight="1">
      <c r="A943" s="178" t="str">
        <f t="shared" si="28"/>
        <v>00/01/yyyy217</v>
      </c>
      <c r="B943" s="171">
        <f t="shared" si="29"/>
        <v>217</v>
      </c>
    </row>
    <row r="944" spans="1:2" ht="30" customHeight="1">
      <c r="A944" s="178" t="str">
        <f t="shared" si="28"/>
        <v>00/01/yyyy218</v>
      </c>
      <c r="B944" s="171">
        <f t="shared" si="29"/>
        <v>218</v>
      </c>
    </row>
    <row r="945" spans="1:2" ht="30" customHeight="1">
      <c r="A945" s="178" t="str">
        <f t="shared" si="28"/>
        <v>00/01/yyyy219</v>
      </c>
      <c r="B945" s="171">
        <f t="shared" si="29"/>
        <v>219</v>
      </c>
    </row>
    <row r="946" spans="1:2" ht="30" customHeight="1">
      <c r="A946" s="178" t="str">
        <f t="shared" si="28"/>
        <v>00/01/yyyy220</v>
      </c>
      <c r="B946" s="171">
        <f t="shared" si="29"/>
        <v>220</v>
      </c>
    </row>
    <row r="947" spans="1:2" ht="30" customHeight="1">
      <c r="A947" s="178" t="str">
        <f t="shared" si="28"/>
        <v>00/01/yyyy221</v>
      </c>
      <c r="B947" s="171">
        <f t="shared" si="29"/>
        <v>221</v>
      </c>
    </row>
    <row r="948" spans="1:2" ht="30" customHeight="1">
      <c r="A948" s="178" t="str">
        <f t="shared" si="28"/>
        <v>00/01/yyyy222</v>
      </c>
      <c r="B948" s="171">
        <f t="shared" si="29"/>
        <v>222</v>
      </c>
    </row>
    <row r="949" spans="1:2" ht="30" customHeight="1">
      <c r="A949" s="178" t="str">
        <f t="shared" si="28"/>
        <v>00/01/yyyy223</v>
      </c>
      <c r="B949" s="171">
        <f t="shared" si="29"/>
        <v>223</v>
      </c>
    </row>
    <row r="950" spans="1:2" ht="30" customHeight="1">
      <c r="A950" s="178" t="str">
        <f t="shared" si="28"/>
        <v>00/01/yyyy224</v>
      </c>
      <c r="B950" s="171">
        <f t="shared" si="29"/>
        <v>224</v>
      </c>
    </row>
    <row r="951" spans="1:2" ht="30" customHeight="1">
      <c r="A951" s="178" t="str">
        <f t="shared" si="28"/>
        <v>00/01/yyyy225</v>
      </c>
      <c r="B951" s="171">
        <f t="shared" si="29"/>
        <v>225</v>
      </c>
    </row>
    <row r="952" spans="1:2" ht="30" customHeight="1">
      <c r="A952" s="178" t="str">
        <f t="shared" si="28"/>
        <v>00/01/yyyy226</v>
      </c>
      <c r="B952" s="171">
        <f t="shared" si="29"/>
        <v>226</v>
      </c>
    </row>
    <row r="953" spans="1:2" ht="30" customHeight="1">
      <c r="A953" s="178" t="str">
        <f t="shared" si="28"/>
        <v>00/01/yyyy227</v>
      </c>
      <c r="B953" s="171">
        <f t="shared" si="29"/>
        <v>227</v>
      </c>
    </row>
    <row r="954" spans="1:2" ht="30" customHeight="1">
      <c r="A954" s="178" t="str">
        <f t="shared" si="28"/>
        <v>00/01/yyyy228</v>
      </c>
      <c r="B954" s="171">
        <f t="shared" si="29"/>
        <v>228</v>
      </c>
    </row>
    <row r="955" spans="1:2" ht="30" customHeight="1">
      <c r="A955" s="178" t="str">
        <f t="shared" si="28"/>
        <v>00/01/yyyy229</v>
      </c>
      <c r="B955" s="171">
        <f t="shared" si="29"/>
        <v>229</v>
      </c>
    </row>
    <row r="956" spans="1:2" ht="30" customHeight="1">
      <c r="A956" s="178" t="str">
        <f t="shared" si="28"/>
        <v>00/01/yyyy230</v>
      </c>
      <c r="B956" s="171">
        <f t="shared" si="29"/>
        <v>230</v>
      </c>
    </row>
    <row r="957" spans="1:2" ht="30" customHeight="1">
      <c r="A957" s="178" t="str">
        <f t="shared" si="28"/>
        <v>00/01/yyyy231</v>
      </c>
      <c r="B957" s="171">
        <f t="shared" si="29"/>
        <v>231</v>
      </c>
    </row>
    <row r="958" spans="1:2" ht="30" customHeight="1">
      <c r="A958" s="178" t="str">
        <f t="shared" si="28"/>
        <v>00/01/yyyy232</v>
      </c>
      <c r="B958" s="171">
        <f t="shared" si="29"/>
        <v>232</v>
      </c>
    </row>
    <row r="959" spans="1:2" ht="30" customHeight="1">
      <c r="A959" s="178" t="str">
        <f t="shared" si="28"/>
        <v>00/01/yyyy233</v>
      </c>
      <c r="B959" s="171">
        <f t="shared" si="29"/>
        <v>233</v>
      </c>
    </row>
    <row r="960" spans="1:2" ht="30" customHeight="1">
      <c r="A960" s="178" t="str">
        <f t="shared" si="28"/>
        <v>00/01/yyyy234</v>
      </c>
      <c r="B960" s="171">
        <f t="shared" si="29"/>
        <v>234</v>
      </c>
    </row>
    <row r="961" spans="1:2" ht="30" customHeight="1">
      <c r="A961" s="178" t="str">
        <f t="shared" si="28"/>
        <v>00/01/yyyy235</v>
      </c>
      <c r="B961" s="171">
        <f t="shared" si="29"/>
        <v>235</v>
      </c>
    </row>
    <row r="962" spans="1:2" ht="30" customHeight="1">
      <c r="A962" s="178" t="str">
        <f t="shared" si="28"/>
        <v>00/01/yyyy236</v>
      </c>
      <c r="B962" s="171">
        <f t="shared" si="29"/>
        <v>236</v>
      </c>
    </row>
    <row r="963" spans="1:2" ht="30" customHeight="1">
      <c r="A963" s="178" t="str">
        <f t="shared" ref="A963:A1026" si="30">CONCATENATE(TEXT($G963,"dd/mm/yyyy"),$B963)</f>
        <v>00/01/yyyy237</v>
      </c>
      <c r="B963" s="171">
        <f t="shared" si="29"/>
        <v>237</v>
      </c>
    </row>
    <row r="964" spans="1:2" ht="30" customHeight="1">
      <c r="A964" s="178" t="str">
        <f t="shared" si="30"/>
        <v>00/01/yyyy238</v>
      </c>
      <c r="B964" s="171">
        <f t="shared" ref="B964:B1027" si="31">IF($G964=$G963,$B963+1,1)</f>
        <v>238</v>
      </c>
    </row>
    <row r="965" spans="1:2" ht="30" customHeight="1">
      <c r="A965" s="178" t="str">
        <f t="shared" si="30"/>
        <v>00/01/yyyy239</v>
      </c>
      <c r="B965" s="171">
        <f t="shared" si="31"/>
        <v>239</v>
      </c>
    </row>
    <row r="966" spans="1:2" ht="30" customHeight="1">
      <c r="A966" s="178" t="str">
        <f t="shared" si="30"/>
        <v>00/01/yyyy240</v>
      </c>
      <c r="B966" s="171">
        <f t="shared" si="31"/>
        <v>240</v>
      </c>
    </row>
    <row r="967" spans="1:2" ht="30" customHeight="1">
      <c r="A967" s="178" t="str">
        <f t="shared" si="30"/>
        <v>00/01/yyyy241</v>
      </c>
      <c r="B967" s="171">
        <f t="shared" si="31"/>
        <v>241</v>
      </c>
    </row>
    <row r="968" spans="1:2" ht="30" customHeight="1">
      <c r="A968" s="178" t="str">
        <f t="shared" si="30"/>
        <v>00/01/yyyy242</v>
      </c>
      <c r="B968" s="171">
        <f t="shared" si="31"/>
        <v>242</v>
      </c>
    </row>
    <row r="969" spans="1:2" ht="30" customHeight="1">
      <c r="A969" s="178" t="str">
        <f t="shared" si="30"/>
        <v>00/01/yyyy243</v>
      </c>
      <c r="B969" s="171">
        <f t="shared" si="31"/>
        <v>243</v>
      </c>
    </row>
    <row r="970" spans="1:2" ht="30" customHeight="1">
      <c r="A970" s="178" t="str">
        <f t="shared" si="30"/>
        <v>00/01/yyyy244</v>
      </c>
      <c r="B970" s="171">
        <f t="shared" si="31"/>
        <v>244</v>
      </c>
    </row>
    <row r="971" spans="1:2" ht="30" customHeight="1">
      <c r="A971" s="178" t="str">
        <f t="shared" si="30"/>
        <v>00/01/yyyy245</v>
      </c>
      <c r="B971" s="171">
        <f t="shared" si="31"/>
        <v>245</v>
      </c>
    </row>
    <row r="972" spans="1:2" ht="30" customHeight="1">
      <c r="A972" s="178" t="str">
        <f t="shared" si="30"/>
        <v>00/01/yyyy246</v>
      </c>
      <c r="B972" s="171">
        <f t="shared" si="31"/>
        <v>246</v>
      </c>
    </row>
    <row r="973" spans="1:2" ht="30" customHeight="1">
      <c r="A973" s="178" t="str">
        <f t="shared" si="30"/>
        <v>00/01/yyyy247</v>
      </c>
      <c r="B973" s="171">
        <f t="shared" si="31"/>
        <v>247</v>
      </c>
    </row>
    <row r="974" spans="1:2" ht="30" customHeight="1">
      <c r="A974" s="178" t="str">
        <f t="shared" si="30"/>
        <v>00/01/yyyy248</v>
      </c>
      <c r="B974" s="171">
        <f t="shared" si="31"/>
        <v>248</v>
      </c>
    </row>
    <row r="975" spans="1:2" ht="30" customHeight="1">
      <c r="A975" s="178" t="str">
        <f t="shared" si="30"/>
        <v>00/01/yyyy249</v>
      </c>
      <c r="B975" s="171">
        <f t="shared" si="31"/>
        <v>249</v>
      </c>
    </row>
    <row r="976" spans="1:2" ht="30" customHeight="1">
      <c r="A976" s="178" t="str">
        <f t="shared" si="30"/>
        <v>00/01/yyyy250</v>
      </c>
      <c r="B976" s="171">
        <f t="shared" si="31"/>
        <v>250</v>
      </c>
    </row>
    <row r="977" spans="1:2" ht="30" customHeight="1">
      <c r="A977" s="178" t="str">
        <f t="shared" si="30"/>
        <v>00/01/yyyy251</v>
      </c>
      <c r="B977" s="171">
        <f t="shared" si="31"/>
        <v>251</v>
      </c>
    </row>
    <row r="978" spans="1:2" ht="30" customHeight="1">
      <c r="A978" s="178" t="str">
        <f t="shared" si="30"/>
        <v>00/01/yyyy252</v>
      </c>
      <c r="B978" s="171">
        <f t="shared" si="31"/>
        <v>252</v>
      </c>
    </row>
    <row r="979" spans="1:2" ht="30" customHeight="1">
      <c r="A979" s="178" t="str">
        <f t="shared" si="30"/>
        <v>00/01/yyyy253</v>
      </c>
      <c r="B979" s="171">
        <f t="shared" si="31"/>
        <v>253</v>
      </c>
    </row>
    <row r="980" spans="1:2" ht="30" customHeight="1">
      <c r="A980" s="178" t="str">
        <f t="shared" si="30"/>
        <v>00/01/yyyy254</v>
      </c>
      <c r="B980" s="171">
        <f t="shared" si="31"/>
        <v>254</v>
      </c>
    </row>
    <row r="981" spans="1:2" ht="30" customHeight="1">
      <c r="A981" s="178" t="str">
        <f t="shared" si="30"/>
        <v>00/01/yyyy255</v>
      </c>
      <c r="B981" s="171">
        <f t="shared" si="31"/>
        <v>255</v>
      </c>
    </row>
    <row r="982" spans="1:2" ht="30" customHeight="1">
      <c r="A982" s="178" t="str">
        <f t="shared" si="30"/>
        <v>00/01/yyyy256</v>
      </c>
      <c r="B982" s="171">
        <f t="shared" si="31"/>
        <v>256</v>
      </c>
    </row>
    <row r="983" spans="1:2" ht="30" customHeight="1">
      <c r="A983" s="178" t="str">
        <f t="shared" si="30"/>
        <v>00/01/yyyy257</v>
      </c>
      <c r="B983" s="171">
        <f t="shared" si="31"/>
        <v>257</v>
      </c>
    </row>
    <row r="984" spans="1:2" ht="30" customHeight="1">
      <c r="A984" s="178" t="str">
        <f t="shared" si="30"/>
        <v>00/01/yyyy258</v>
      </c>
      <c r="B984" s="171">
        <f t="shared" si="31"/>
        <v>258</v>
      </c>
    </row>
    <row r="985" spans="1:2" ht="30" customHeight="1">
      <c r="A985" s="178" t="str">
        <f t="shared" si="30"/>
        <v>00/01/yyyy259</v>
      </c>
      <c r="B985" s="171">
        <f t="shared" si="31"/>
        <v>259</v>
      </c>
    </row>
    <row r="986" spans="1:2" ht="30" customHeight="1">
      <c r="A986" s="178" t="str">
        <f t="shared" si="30"/>
        <v>00/01/yyyy260</v>
      </c>
      <c r="B986" s="171">
        <f t="shared" si="31"/>
        <v>260</v>
      </c>
    </row>
    <row r="987" spans="1:2" ht="30" customHeight="1">
      <c r="A987" s="178" t="str">
        <f t="shared" si="30"/>
        <v>00/01/yyyy261</v>
      </c>
      <c r="B987" s="171">
        <f t="shared" si="31"/>
        <v>261</v>
      </c>
    </row>
    <row r="988" spans="1:2" ht="30" customHeight="1">
      <c r="A988" s="178" t="str">
        <f t="shared" si="30"/>
        <v>00/01/yyyy262</v>
      </c>
      <c r="B988" s="171">
        <f t="shared" si="31"/>
        <v>262</v>
      </c>
    </row>
    <row r="989" spans="1:2" ht="30" customHeight="1">
      <c r="A989" s="178" t="str">
        <f t="shared" si="30"/>
        <v>00/01/yyyy263</v>
      </c>
      <c r="B989" s="171">
        <f t="shared" si="31"/>
        <v>263</v>
      </c>
    </row>
    <row r="990" spans="1:2" ht="30" customHeight="1">
      <c r="A990" s="178" t="str">
        <f t="shared" si="30"/>
        <v>00/01/yyyy264</v>
      </c>
      <c r="B990" s="171">
        <f t="shared" si="31"/>
        <v>264</v>
      </c>
    </row>
    <row r="991" spans="1:2" ht="30" customHeight="1">
      <c r="A991" s="178" t="str">
        <f t="shared" si="30"/>
        <v>00/01/yyyy265</v>
      </c>
      <c r="B991" s="171">
        <f t="shared" si="31"/>
        <v>265</v>
      </c>
    </row>
    <row r="992" spans="1:2" ht="30" customHeight="1">
      <c r="A992" s="178" t="str">
        <f t="shared" si="30"/>
        <v>00/01/yyyy266</v>
      </c>
      <c r="B992" s="171">
        <f t="shared" si="31"/>
        <v>266</v>
      </c>
    </row>
    <row r="993" spans="1:2" ht="30" customHeight="1">
      <c r="A993" s="178" t="str">
        <f t="shared" si="30"/>
        <v>00/01/yyyy267</v>
      </c>
      <c r="B993" s="171">
        <f t="shared" si="31"/>
        <v>267</v>
      </c>
    </row>
    <row r="994" spans="1:2" ht="30" customHeight="1">
      <c r="A994" s="178" t="str">
        <f t="shared" si="30"/>
        <v>00/01/yyyy268</v>
      </c>
      <c r="B994" s="171">
        <f t="shared" si="31"/>
        <v>268</v>
      </c>
    </row>
    <row r="995" spans="1:2" ht="30" customHeight="1">
      <c r="A995" s="178" t="str">
        <f t="shared" si="30"/>
        <v>00/01/yyyy269</v>
      </c>
      <c r="B995" s="171">
        <f t="shared" si="31"/>
        <v>269</v>
      </c>
    </row>
    <row r="996" spans="1:2" ht="30" customHeight="1">
      <c r="A996" s="178" t="str">
        <f t="shared" si="30"/>
        <v>00/01/yyyy270</v>
      </c>
      <c r="B996" s="171">
        <f t="shared" si="31"/>
        <v>270</v>
      </c>
    </row>
    <row r="997" spans="1:2" ht="30" customHeight="1">
      <c r="A997" s="178" t="str">
        <f t="shared" si="30"/>
        <v>00/01/yyyy271</v>
      </c>
      <c r="B997" s="171">
        <f t="shared" si="31"/>
        <v>271</v>
      </c>
    </row>
    <row r="998" spans="1:2" ht="30" customHeight="1">
      <c r="A998" s="178" t="str">
        <f t="shared" si="30"/>
        <v>00/01/yyyy272</v>
      </c>
      <c r="B998" s="171">
        <f t="shared" si="31"/>
        <v>272</v>
      </c>
    </row>
    <row r="999" spans="1:2" ht="30" customHeight="1">
      <c r="A999" s="178" t="str">
        <f t="shared" si="30"/>
        <v>00/01/yyyy273</v>
      </c>
      <c r="B999" s="171">
        <f t="shared" si="31"/>
        <v>273</v>
      </c>
    </row>
    <row r="1000" spans="1:2" ht="30" customHeight="1">
      <c r="A1000" s="178" t="str">
        <f t="shared" si="30"/>
        <v>00/01/yyyy274</v>
      </c>
      <c r="B1000" s="171">
        <f t="shared" si="31"/>
        <v>274</v>
      </c>
    </row>
    <row r="1001" spans="1:2" ht="30" customHeight="1">
      <c r="A1001" s="178" t="str">
        <f t="shared" si="30"/>
        <v>00/01/yyyy275</v>
      </c>
      <c r="B1001" s="171">
        <f t="shared" si="31"/>
        <v>275</v>
      </c>
    </row>
    <row r="1002" spans="1:2" ht="30" customHeight="1">
      <c r="A1002" s="178" t="str">
        <f t="shared" si="30"/>
        <v>00/01/yyyy276</v>
      </c>
      <c r="B1002" s="171">
        <f t="shared" si="31"/>
        <v>276</v>
      </c>
    </row>
    <row r="1003" spans="1:2" ht="30" customHeight="1">
      <c r="A1003" s="178" t="str">
        <f t="shared" si="30"/>
        <v>00/01/yyyy277</v>
      </c>
      <c r="B1003" s="171">
        <f t="shared" si="31"/>
        <v>277</v>
      </c>
    </row>
    <row r="1004" spans="1:2" ht="30" customHeight="1">
      <c r="A1004" s="178" t="str">
        <f t="shared" si="30"/>
        <v>00/01/yyyy278</v>
      </c>
      <c r="B1004" s="171">
        <f t="shared" si="31"/>
        <v>278</v>
      </c>
    </row>
    <row r="1005" spans="1:2" ht="30" customHeight="1">
      <c r="A1005" s="178" t="str">
        <f t="shared" si="30"/>
        <v>00/01/yyyy279</v>
      </c>
      <c r="B1005" s="171">
        <f t="shared" si="31"/>
        <v>279</v>
      </c>
    </row>
    <row r="1006" spans="1:2" ht="30" customHeight="1">
      <c r="A1006" s="178" t="str">
        <f t="shared" si="30"/>
        <v>00/01/yyyy280</v>
      </c>
      <c r="B1006" s="171">
        <f t="shared" si="31"/>
        <v>280</v>
      </c>
    </row>
    <row r="1007" spans="1:2" ht="30" customHeight="1">
      <c r="A1007" s="178" t="str">
        <f t="shared" si="30"/>
        <v>00/01/yyyy281</v>
      </c>
      <c r="B1007" s="171">
        <f t="shared" si="31"/>
        <v>281</v>
      </c>
    </row>
    <row r="1008" spans="1:2" ht="30" customHeight="1">
      <c r="A1008" s="178" t="str">
        <f t="shared" si="30"/>
        <v>00/01/yyyy282</v>
      </c>
      <c r="B1008" s="171">
        <f t="shared" si="31"/>
        <v>282</v>
      </c>
    </row>
    <row r="1009" spans="1:2" ht="30" customHeight="1">
      <c r="A1009" s="178" t="str">
        <f t="shared" si="30"/>
        <v>00/01/yyyy283</v>
      </c>
      <c r="B1009" s="171">
        <f t="shared" si="31"/>
        <v>283</v>
      </c>
    </row>
    <row r="1010" spans="1:2" ht="30" customHeight="1">
      <c r="A1010" s="178" t="str">
        <f t="shared" si="30"/>
        <v>00/01/yyyy284</v>
      </c>
      <c r="B1010" s="171">
        <f t="shared" si="31"/>
        <v>284</v>
      </c>
    </row>
    <row r="1011" spans="1:2" ht="30" customHeight="1">
      <c r="A1011" s="178" t="str">
        <f t="shared" si="30"/>
        <v>00/01/yyyy285</v>
      </c>
      <c r="B1011" s="171">
        <f t="shared" si="31"/>
        <v>285</v>
      </c>
    </row>
    <row r="1012" spans="1:2" ht="30" customHeight="1">
      <c r="A1012" s="178" t="str">
        <f t="shared" si="30"/>
        <v>00/01/yyyy286</v>
      </c>
      <c r="B1012" s="171">
        <f t="shared" si="31"/>
        <v>286</v>
      </c>
    </row>
    <row r="1013" spans="1:2" ht="30" customHeight="1">
      <c r="A1013" s="178" t="str">
        <f t="shared" si="30"/>
        <v>00/01/yyyy287</v>
      </c>
      <c r="B1013" s="171">
        <f t="shared" si="31"/>
        <v>287</v>
      </c>
    </row>
    <row r="1014" spans="1:2" ht="30" customHeight="1">
      <c r="A1014" s="178" t="str">
        <f t="shared" si="30"/>
        <v>00/01/yyyy288</v>
      </c>
      <c r="B1014" s="171">
        <f t="shared" si="31"/>
        <v>288</v>
      </c>
    </row>
    <row r="1015" spans="1:2" ht="30" customHeight="1">
      <c r="A1015" s="178" t="str">
        <f t="shared" si="30"/>
        <v>00/01/yyyy289</v>
      </c>
      <c r="B1015" s="171">
        <f t="shared" si="31"/>
        <v>289</v>
      </c>
    </row>
    <row r="1016" spans="1:2" ht="30" customHeight="1">
      <c r="A1016" s="178" t="str">
        <f t="shared" si="30"/>
        <v>00/01/yyyy290</v>
      </c>
      <c r="B1016" s="171">
        <f t="shared" si="31"/>
        <v>290</v>
      </c>
    </row>
    <row r="1017" spans="1:2" ht="30" customHeight="1">
      <c r="A1017" s="178" t="str">
        <f t="shared" si="30"/>
        <v>00/01/yyyy291</v>
      </c>
      <c r="B1017" s="171">
        <f t="shared" si="31"/>
        <v>291</v>
      </c>
    </row>
    <row r="1018" spans="1:2" ht="30" customHeight="1">
      <c r="A1018" s="178" t="str">
        <f t="shared" si="30"/>
        <v>00/01/yyyy292</v>
      </c>
      <c r="B1018" s="171">
        <f t="shared" si="31"/>
        <v>292</v>
      </c>
    </row>
    <row r="1019" spans="1:2" ht="30" customHeight="1">
      <c r="A1019" s="178" t="str">
        <f t="shared" si="30"/>
        <v>00/01/yyyy293</v>
      </c>
      <c r="B1019" s="171">
        <f t="shared" si="31"/>
        <v>293</v>
      </c>
    </row>
    <row r="1020" spans="1:2" ht="30" customHeight="1">
      <c r="A1020" s="178" t="str">
        <f t="shared" si="30"/>
        <v>00/01/yyyy294</v>
      </c>
      <c r="B1020" s="171">
        <f t="shared" si="31"/>
        <v>294</v>
      </c>
    </row>
    <row r="1021" spans="1:2" ht="30" customHeight="1">
      <c r="A1021" s="178" t="str">
        <f t="shared" si="30"/>
        <v>00/01/yyyy295</v>
      </c>
      <c r="B1021" s="171">
        <f t="shared" si="31"/>
        <v>295</v>
      </c>
    </row>
    <row r="1022" spans="1:2" ht="30" customHeight="1">
      <c r="A1022" s="178" t="str">
        <f t="shared" si="30"/>
        <v>00/01/yyyy296</v>
      </c>
      <c r="B1022" s="171">
        <f t="shared" si="31"/>
        <v>296</v>
      </c>
    </row>
    <row r="1023" spans="1:2" ht="30" customHeight="1">
      <c r="A1023" s="178" t="str">
        <f t="shared" si="30"/>
        <v>00/01/yyyy297</v>
      </c>
      <c r="B1023" s="171">
        <f t="shared" si="31"/>
        <v>297</v>
      </c>
    </row>
    <row r="1024" spans="1:2" ht="30" customHeight="1">
      <c r="A1024" s="178" t="str">
        <f t="shared" si="30"/>
        <v>00/01/yyyy298</v>
      </c>
      <c r="B1024" s="171">
        <f t="shared" si="31"/>
        <v>298</v>
      </c>
    </row>
    <row r="1025" spans="1:2" ht="30" customHeight="1">
      <c r="A1025" s="178" t="str">
        <f t="shared" si="30"/>
        <v>00/01/yyyy299</v>
      </c>
      <c r="B1025" s="171">
        <f t="shared" si="31"/>
        <v>299</v>
      </c>
    </row>
    <row r="1026" spans="1:2" ht="30" customHeight="1">
      <c r="A1026" s="178" t="str">
        <f t="shared" si="30"/>
        <v>00/01/yyyy300</v>
      </c>
      <c r="B1026" s="171">
        <f t="shared" si="31"/>
        <v>300</v>
      </c>
    </row>
    <row r="1027" spans="1:2" ht="30" customHeight="1">
      <c r="A1027" s="178" t="str">
        <f t="shared" ref="A1027:A1090" si="32">CONCATENATE(TEXT($G1027,"dd/mm/yyyy"),$B1027)</f>
        <v>00/01/yyyy301</v>
      </c>
      <c r="B1027" s="171">
        <f t="shared" si="31"/>
        <v>301</v>
      </c>
    </row>
    <row r="1028" spans="1:2" ht="30" customHeight="1">
      <c r="A1028" s="178" t="str">
        <f t="shared" si="32"/>
        <v>00/01/yyyy302</v>
      </c>
      <c r="B1028" s="171">
        <f t="shared" ref="B1028:B1091" si="33">IF($G1028=$G1027,$B1027+1,1)</f>
        <v>302</v>
      </c>
    </row>
    <row r="1029" spans="1:2" ht="30" customHeight="1">
      <c r="A1029" s="178" t="str">
        <f t="shared" si="32"/>
        <v>00/01/yyyy303</v>
      </c>
      <c r="B1029" s="171">
        <f t="shared" si="33"/>
        <v>303</v>
      </c>
    </row>
    <row r="1030" spans="1:2" ht="30" customHeight="1">
      <c r="A1030" s="178" t="str">
        <f t="shared" si="32"/>
        <v>00/01/yyyy304</v>
      </c>
      <c r="B1030" s="171">
        <f t="shared" si="33"/>
        <v>304</v>
      </c>
    </row>
    <row r="1031" spans="1:2" ht="30" customHeight="1">
      <c r="A1031" s="178" t="str">
        <f t="shared" si="32"/>
        <v>00/01/yyyy305</v>
      </c>
      <c r="B1031" s="171">
        <f t="shared" si="33"/>
        <v>305</v>
      </c>
    </row>
    <row r="1032" spans="1:2" ht="30" customHeight="1">
      <c r="A1032" s="178" t="str">
        <f t="shared" si="32"/>
        <v>00/01/yyyy306</v>
      </c>
      <c r="B1032" s="171">
        <f t="shared" si="33"/>
        <v>306</v>
      </c>
    </row>
    <row r="1033" spans="1:2" ht="30" customHeight="1">
      <c r="A1033" s="178" t="str">
        <f t="shared" si="32"/>
        <v>00/01/yyyy307</v>
      </c>
      <c r="B1033" s="171">
        <f t="shared" si="33"/>
        <v>307</v>
      </c>
    </row>
    <row r="1034" spans="1:2" ht="30" customHeight="1">
      <c r="A1034" s="178" t="str">
        <f t="shared" si="32"/>
        <v>00/01/yyyy308</v>
      </c>
      <c r="B1034" s="171">
        <f t="shared" si="33"/>
        <v>308</v>
      </c>
    </row>
    <row r="1035" spans="1:2" ht="30" customHeight="1">
      <c r="A1035" s="178" t="str">
        <f t="shared" si="32"/>
        <v>00/01/yyyy309</v>
      </c>
      <c r="B1035" s="171">
        <f t="shared" si="33"/>
        <v>309</v>
      </c>
    </row>
    <row r="1036" spans="1:2" ht="30" customHeight="1">
      <c r="A1036" s="178" t="str">
        <f t="shared" si="32"/>
        <v>00/01/yyyy310</v>
      </c>
      <c r="B1036" s="171">
        <f t="shared" si="33"/>
        <v>310</v>
      </c>
    </row>
    <row r="1037" spans="1:2" ht="30" customHeight="1">
      <c r="A1037" s="178" t="str">
        <f t="shared" si="32"/>
        <v>00/01/yyyy311</v>
      </c>
      <c r="B1037" s="171">
        <f t="shared" si="33"/>
        <v>311</v>
      </c>
    </row>
    <row r="1038" spans="1:2" ht="30" customHeight="1">
      <c r="A1038" s="178" t="str">
        <f t="shared" si="32"/>
        <v>00/01/yyyy312</v>
      </c>
      <c r="B1038" s="171">
        <f t="shared" si="33"/>
        <v>312</v>
      </c>
    </row>
    <row r="1039" spans="1:2" ht="30" customHeight="1">
      <c r="A1039" s="178" t="str">
        <f t="shared" si="32"/>
        <v>00/01/yyyy313</v>
      </c>
      <c r="B1039" s="171">
        <f t="shared" si="33"/>
        <v>313</v>
      </c>
    </row>
    <row r="1040" spans="1:2" ht="30" customHeight="1">
      <c r="A1040" s="178" t="str">
        <f t="shared" si="32"/>
        <v>00/01/yyyy314</v>
      </c>
      <c r="B1040" s="171">
        <f t="shared" si="33"/>
        <v>314</v>
      </c>
    </row>
    <row r="1041" spans="1:2" ht="30" customHeight="1">
      <c r="A1041" s="178" t="str">
        <f t="shared" si="32"/>
        <v>00/01/yyyy315</v>
      </c>
      <c r="B1041" s="171">
        <f t="shared" si="33"/>
        <v>315</v>
      </c>
    </row>
    <row r="1042" spans="1:2" ht="30" customHeight="1">
      <c r="A1042" s="178" t="str">
        <f t="shared" si="32"/>
        <v>00/01/yyyy316</v>
      </c>
      <c r="B1042" s="171">
        <f t="shared" si="33"/>
        <v>316</v>
      </c>
    </row>
    <row r="1043" spans="1:2" ht="30" customHeight="1">
      <c r="A1043" s="178" t="str">
        <f t="shared" si="32"/>
        <v>00/01/yyyy317</v>
      </c>
      <c r="B1043" s="171">
        <f t="shared" si="33"/>
        <v>317</v>
      </c>
    </row>
    <row r="1044" spans="1:2" ht="30" customHeight="1">
      <c r="A1044" s="178" t="str">
        <f t="shared" si="32"/>
        <v>00/01/yyyy318</v>
      </c>
      <c r="B1044" s="171">
        <f t="shared" si="33"/>
        <v>318</v>
      </c>
    </row>
    <row r="1045" spans="1:2" ht="30" customHeight="1">
      <c r="A1045" s="178" t="str">
        <f t="shared" si="32"/>
        <v>00/01/yyyy319</v>
      </c>
      <c r="B1045" s="171">
        <f t="shared" si="33"/>
        <v>319</v>
      </c>
    </row>
    <row r="1046" spans="1:2" ht="30" customHeight="1">
      <c r="A1046" s="178" t="str">
        <f t="shared" si="32"/>
        <v>00/01/yyyy320</v>
      </c>
      <c r="B1046" s="171">
        <f t="shared" si="33"/>
        <v>320</v>
      </c>
    </row>
    <row r="1047" spans="1:2" ht="30" customHeight="1">
      <c r="A1047" s="178" t="str">
        <f t="shared" si="32"/>
        <v>00/01/yyyy321</v>
      </c>
      <c r="B1047" s="171">
        <f t="shared" si="33"/>
        <v>321</v>
      </c>
    </row>
    <row r="1048" spans="1:2" ht="30" customHeight="1">
      <c r="A1048" s="178" t="str">
        <f t="shared" si="32"/>
        <v>00/01/yyyy322</v>
      </c>
      <c r="B1048" s="171">
        <f t="shared" si="33"/>
        <v>322</v>
      </c>
    </row>
    <row r="1049" spans="1:2" ht="30" customHeight="1">
      <c r="A1049" s="178" t="str">
        <f t="shared" si="32"/>
        <v>00/01/yyyy323</v>
      </c>
      <c r="B1049" s="171">
        <f t="shared" si="33"/>
        <v>323</v>
      </c>
    </row>
    <row r="1050" spans="1:2" ht="30" customHeight="1">
      <c r="A1050" s="178" t="str">
        <f t="shared" si="32"/>
        <v>00/01/yyyy324</v>
      </c>
      <c r="B1050" s="171">
        <f t="shared" si="33"/>
        <v>324</v>
      </c>
    </row>
    <row r="1051" spans="1:2" ht="30" customHeight="1">
      <c r="A1051" s="178" t="str">
        <f t="shared" si="32"/>
        <v>00/01/yyyy325</v>
      </c>
      <c r="B1051" s="171">
        <f t="shared" si="33"/>
        <v>325</v>
      </c>
    </row>
    <row r="1052" spans="1:2" ht="30" customHeight="1">
      <c r="A1052" s="178" t="str">
        <f t="shared" si="32"/>
        <v>00/01/yyyy326</v>
      </c>
      <c r="B1052" s="171">
        <f t="shared" si="33"/>
        <v>326</v>
      </c>
    </row>
    <row r="1053" spans="1:2" ht="30" customHeight="1">
      <c r="A1053" s="178" t="str">
        <f t="shared" si="32"/>
        <v>00/01/yyyy327</v>
      </c>
      <c r="B1053" s="171">
        <f t="shared" si="33"/>
        <v>327</v>
      </c>
    </row>
    <row r="1054" spans="1:2" ht="30" customHeight="1">
      <c r="A1054" s="178" t="str">
        <f t="shared" si="32"/>
        <v>00/01/yyyy328</v>
      </c>
      <c r="B1054" s="171">
        <f t="shared" si="33"/>
        <v>328</v>
      </c>
    </row>
    <row r="1055" spans="1:2" ht="30" customHeight="1">
      <c r="A1055" s="178" t="str">
        <f t="shared" si="32"/>
        <v>00/01/yyyy329</v>
      </c>
      <c r="B1055" s="171">
        <f t="shared" si="33"/>
        <v>329</v>
      </c>
    </row>
    <row r="1056" spans="1:2" ht="30" customHeight="1">
      <c r="A1056" s="178" t="str">
        <f t="shared" si="32"/>
        <v>00/01/yyyy330</v>
      </c>
      <c r="B1056" s="171">
        <f t="shared" si="33"/>
        <v>330</v>
      </c>
    </row>
    <row r="1057" spans="1:2" ht="30" customHeight="1">
      <c r="A1057" s="178" t="str">
        <f t="shared" si="32"/>
        <v>00/01/yyyy331</v>
      </c>
      <c r="B1057" s="171">
        <f t="shared" si="33"/>
        <v>331</v>
      </c>
    </row>
    <row r="1058" spans="1:2" ht="30" customHeight="1">
      <c r="A1058" s="178" t="str">
        <f t="shared" si="32"/>
        <v>00/01/yyyy332</v>
      </c>
      <c r="B1058" s="171">
        <f t="shared" si="33"/>
        <v>332</v>
      </c>
    </row>
    <row r="1059" spans="1:2" ht="30" customHeight="1">
      <c r="A1059" s="178" t="str">
        <f t="shared" si="32"/>
        <v>00/01/yyyy333</v>
      </c>
      <c r="B1059" s="171">
        <f t="shared" si="33"/>
        <v>333</v>
      </c>
    </row>
    <row r="1060" spans="1:2" ht="30" customHeight="1">
      <c r="A1060" s="178" t="str">
        <f t="shared" si="32"/>
        <v>00/01/yyyy334</v>
      </c>
      <c r="B1060" s="171">
        <f t="shared" si="33"/>
        <v>334</v>
      </c>
    </row>
    <row r="1061" spans="1:2" ht="30" customHeight="1">
      <c r="A1061" s="178" t="str">
        <f t="shared" si="32"/>
        <v>00/01/yyyy335</v>
      </c>
      <c r="B1061" s="171">
        <f t="shared" si="33"/>
        <v>335</v>
      </c>
    </row>
    <row r="1062" spans="1:2" ht="30" customHeight="1">
      <c r="A1062" s="178" t="str">
        <f t="shared" si="32"/>
        <v>00/01/yyyy336</v>
      </c>
      <c r="B1062" s="171">
        <f t="shared" si="33"/>
        <v>336</v>
      </c>
    </row>
    <row r="1063" spans="1:2" ht="30" customHeight="1">
      <c r="A1063" s="178" t="str">
        <f t="shared" si="32"/>
        <v>00/01/yyyy337</v>
      </c>
      <c r="B1063" s="171">
        <f t="shared" si="33"/>
        <v>337</v>
      </c>
    </row>
    <row r="1064" spans="1:2" ht="30" customHeight="1">
      <c r="A1064" s="178" t="str">
        <f t="shared" si="32"/>
        <v>00/01/yyyy338</v>
      </c>
      <c r="B1064" s="171">
        <f t="shared" si="33"/>
        <v>338</v>
      </c>
    </row>
    <row r="1065" spans="1:2" ht="30" customHeight="1">
      <c r="A1065" s="178" t="str">
        <f t="shared" si="32"/>
        <v>00/01/yyyy339</v>
      </c>
      <c r="B1065" s="171">
        <f t="shared" si="33"/>
        <v>339</v>
      </c>
    </row>
    <row r="1066" spans="1:2" ht="30" customHeight="1">
      <c r="A1066" s="178" t="str">
        <f t="shared" si="32"/>
        <v>00/01/yyyy340</v>
      </c>
      <c r="B1066" s="171">
        <f t="shared" si="33"/>
        <v>340</v>
      </c>
    </row>
    <row r="1067" spans="1:2" ht="30" customHeight="1">
      <c r="A1067" s="178" t="str">
        <f t="shared" si="32"/>
        <v>00/01/yyyy341</v>
      </c>
      <c r="B1067" s="171">
        <f t="shared" si="33"/>
        <v>341</v>
      </c>
    </row>
    <row r="1068" spans="1:2" ht="30" customHeight="1">
      <c r="A1068" s="178" t="str">
        <f t="shared" si="32"/>
        <v>00/01/yyyy342</v>
      </c>
      <c r="B1068" s="171">
        <f t="shared" si="33"/>
        <v>342</v>
      </c>
    </row>
    <row r="1069" spans="1:2" ht="30" customHeight="1">
      <c r="A1069" s="178" t="str">
        <f t="shared" si="32"/>
        <v>00/01/yyyy343</v>
      </c>
      <c r="B1069" s="171">
        <f t="shared" si="33"/>
        <v>343</v>
      </c>
    </row>
    <row r="1070" spans="1:2" ht="30" customHeight="1">
      <c r="A1070" s="178" t="str">
        <f t="shared" si="32"/>
        <v>00/01/yyyy344</v>
      </c>
      <c r="B1070" s="171">
        <f t="shared" si="33"/>
        <v>344</v>
      </c>
    </row>
    <row r="1071" spans="1:2" ht="30" customHeight="1">
      <c r="A1071" s="178" t="str">
        <f t="shared" si="32"/>
        <v>00/01/yyyy345</v>
      </c>
      <c r="B1071" s="171">
        <f t="shared" si="33"/>
        <v>345</v>
      </c>
    </row>
    <row r="1072" spans="1:2" ht="30" customHeight="1">
      <c r="A1072" s="178" t="str">
        <f t="shared" si="32"/>
        <v>00/01/yyyy346</v>
      </c>
      <c r="B1072" s="171">
        <f t="shared" si="33"/>
        <v>346</v>
      </c>
    </row>
    <row r="1073" spans="1:2" ht="30" customHeight="1">
      <c r="A1073" s="178" t="str">
        <f t="shared" si="32"/>
        <v>00/01/yyyy347</v>
      </c>
      <c r="B1073" s="171">
        <f t="shared" si="33"/>
        <v>347</v>
      </c>
    </row>
    <row r="1074" spans="1:2" ht="30" customHeight="1">
      <c r="A1074" s="178" t="str">
        <f t="shared" si="32"/>
        <v>00/01/yyyy348</v>
      </c>
      <c r="B1074" s="171">
        <f t="shared" si="33"/>
        <v>348</v>
      </c>
    </row>
    <row r="1075" spans="1:2" ht="30" customHeight="1">
      <c r="A1075" s="178" t="str">
        <f t="shared" si="32"/>
        <v>00/01/yyyy349</v>
      </c>
      <c r="B1075" s="171">
        <f t="shared" si="33"/>
        <v>349</v>
      </c>
    </row>
    <row r="1076" spans="1:2" ht="30" customHeight="1">
      <c r="A1076" s="178" t="str">
        <f t="shared" si="32"/>
        <v>00/01/yyyy350</v>
      </c>
      <c r="B1076" s="171">
        <f t="shared" si="33"/>
        <v>350</v>
      </c>
    </row>
    <row r="1077" spans="1:2" ht="30" customHeight="1">
      <c r="A1077" s="178" t="str">
        <f t="shared" si="32"/>
        <v>00/01/yyyy351</v>
      </c>
      <c r="B1077" s="171">
        <f t="shared" si="33"/>
        <v>351</v>
      </c>
    </row>
    <row r="1078" spans="1:2" ht="30" customHeight="1">
      <c r="A1078" s="178" t="str">
        <f t="shared" si="32"/>
        <v>00/01/yyyy352</v>
      </c>
      <c r="B1078" s="171">
        <f t="shared" si="33"/>
        <v>352</v>
      </c>
    </row>
    <row r="1079" spans="1:2" ht="30" customHeight="1">
      <c r="A1079" s="178" t="str">
        <f t="shared" si="32"/>
        <v>00/01/yyyy353</v>
      </c>
      <c r="B1079" s="171">
        <f t="shared" si="33"/>
        <v>353</v>
      </c>
    </row>
    <row r="1080" spans="1:2" ht="30" customHeight="1">
      <c r="A1080" s="178" t="str">
        <f t="shared" si="32"/>
        <v>00/01/yyyy354</v>
      </c>
      <c r="B1080" s="171">
        <f t="shared" si="33"/>
        <v>354</v>
      </c>
    </row>
    <row r="1081" spans="1:2" ht="30" customHeight="1">
      <c r="A1081" s="178" t="str">
        <f t="shared" si="32"/>
        <v>00/01/yyyy355</v>
      </c>
      <c r="B1081" s="171">
        <f t="shared" si="33"/>
        <v>355</v>
      </c>
    </row>
    <row r="1082" spans="1:2" ht="30" customHeight="1">
      <c r="A1082" s="178" t="str">
        <f t="shared" si="32"/>
        <v>00/01/yyyy356</v>
      </c>
      <c r="B1082" s="171">
        <f t="shared" si="33"/>
        <v>356</v>
      </c>
    </row>
    <row r="1083" spans="1:2" ht="30" customHeight="1">
      <c r="A1083" s="178" t="str">
        <f t="shared" si="32"/>
        <v>00/01/yyyy357</v>
      </c>
      <c r="B1083" s="171">
        <f t="shared" si="33"/>
        <v>357</v>
      </c>
    </row>
    <row r="1084" spans="1:2" ht="30" customHeight="1">
      <c r="A1084" s="178" t="str">
        <f t="shared" si="32"/>
        <v>00/01/yyyy358</v>
      </c>
      <c r="B1084" s="171">
        <f t="shared" si="33"/>
        <v>358</v>
      </c>
    </row>
    <row r="1085" spans="1:2" ht="30" customHeight="1">
      <c r="A1085" s="178" t="str">
        <f t="shared" si="32"/>
        <v>00/01/yyyy359</v>
      </c>
      <c r="B1085" s="171">
        <f t="shared" si="33"/>
        <v>359</v>
      </c>
    </row>
    <row r="1086" spans="1:2" ht="30" customHeight="1">
      <c r="A1086" s="178" t="str">
        <f t="shared" si="32"/>
        <v>00/01/yyyy360</v>
      </c>
      <c r="B1086" s="171">
        <f t="shared" si="33"/>
        <v>360</v>
      </c>
    </row>
    <row r="1087" spans="1:2" ht="30" customHeight="1">
      <c r="A1087" s="178" t="str">
        <f t="shared" si="32"/>
        <v>00/01/yyyy361</v>
      </c>
      <c r="B1087" s="171">
        <f t="shared" si="33"/>
        <v>361</v>
      </c>
    </row>
    <row r="1088" spans="1:2" ht="30" customHeight="1">
      <c r="A1088" s="178" t="str">
        <f t="shared" si="32"/>
        <v>00/01/yyyy362</v>
      </c>
      <c r="B1088" s="171">
        <f t="shared" si="33"/>
        <v>362</v>
      </c>
    </row>
    <row r="1089" spans="1:2" ht="30" customHeight="1">
      <c r="A1089" s="178" t="str">
        <f t="shared" si="32"/>
        <v>00/01/yyyy363</v>
      </c>
      <c r="B1089" s="171">
        <f t="shared" si="33"/>
        <v>363</v>
      </c>
    </row>
    <row r="1090" spans="1:2" ht="30" customHeight="1">
      <c r="A1090" s="178" t="str">
        <f t="shared" si="32"/>
        <v>00/01/yyyy364</v>
      </c>
      <c r="B1090" s="171">
        <f t="shared" si="33"/>
        <v>364</v>
      </c>
    </row>
    <row r="1091" spans="1:2" ht="30" customHeight="1">
      <c r="A1091" s="178" t="str">
        <f t="shared" ref="A1091:A1154" si="34">CONCATENATE(TEXT($G1091,"dd/mm/yyyy"),$B1091)</f>
        <v>00/01/yyyy365</v>
      </c>
      <c r="B1091" s="171">
        <f t="shared" si="33"/>
        <v>365</v>
      </c>
    </row>
    <row r="1092" spans="1:2" ht="30" customHeight="1">
      <c r="A1092" s="178" t="str">
        <f t="shared" si="34"/>
        <v>00/01/yyyy366</v>
      </c>
      <c r="B1092" s="171">
        <f t="shared" ref="B1092:B1155" si="35">IF($G1092=$G1091,$B1091+1,1)</f>
        <v>366</v>
      </c>
    </row>
    <row r="1093" spans="1:2" ht="30" customHeight="1">
      <c r="A1093" s="178" t="str">
        <f t="shared" si="34"/>
        <v>00/01/yyyy367</v>
      </c>
      <c r="B1093" s="171">
        <f t="shared" si="35"/>
        <v>367</v>
      </c>
    </row>
    <row r="1094" spans="1:2" ht="30" customHeight="1">
      <c r="A1094" s="178" t="str">
        <f t="shared" si="34"/>
        <v>00/01/yyyy368</v>
      </c>
      <c r="B1094" s="171">
        <f t="shared" si="35"/>
        <v>368</v>
      </c>
    </row>
    <row r="1095" spans="1:2" ht="30" customHeight="1">
      <c r="A1095" s="178" t="str">
        <f t="shared" si="34"/>
        <v>00/01/yyyy369</v>
      </c>
      <c r="B1095" s="171">
        <f t="shared" si="35"/>
        <v>369</v>
      </c>
    </row>
    <row r="1096" spans="1:2" ht="30" customHeight="1">
      <c r="A1096" s="178" t="str">
        <f t="shared" si="34"/>
        <v>00/01/yyyy370</v>
      </c>
      <c r="B1096" s="171">
        <f t="shared" si="35"/>
        <v>370</v>
      </c>
    </row>
    <row r="1097" spans="1:2" ht="30" customHeight="1">
      <c r="A1097" s="178" t="str">
        <f t="shared" si="34"/>
        <v>00/01/yyyy371</v>
      </c>
      <c r="B1097" s="171">
        <f t="shared" si="35"/>
        <v>371</v>
      </c>
    </row>
    <row r="1098" spans="1:2" ht="30" customHeight="1">
      <c r="A1098" s="178" t="str">
        <f t="shared" si="34"/>
        <v>00/01/yyyy372</v>
      </c>
      <c r="B1098" s="171">
        <f t="shared" si="35"/>
        <v>372</v>
      </c>
    </row>
    <row r="1099" spans="1:2" ht="30" customHeight="1">
      <c r="A1099" s="178" t="str">
        <f t="shared" si="34"/>
        <v>00/01/yyyy373</v>
      </c>
      <c r="B1099" s="171">
        <f t="shared" si="35"/>
        <v>373</v>
      </c>
    </row>
    <row r="1100" spans="1:2" ht="30" customHeight="1">
      <c r="A1100" s="178" t="str">
        <f t="shared" si="34"/>
        <v>00/01/yyyy374</v>
      </c>
      <c r="B1100" s="171">
        <f t="shared" si="35"/>
        <v>374</v>
      </c>
    </row>
    <row r="1101" spans="1:2" ht="30" customHeight="1">
      <c r="A1101" s="178" t="str">
        <f t="shared" si="34"/>
        <v>00/01/yyyy375</v>
      </c>
      <c r="B1101" s="171">
        <f t="shared" si="35"/>
        <v>375</v>
      </c>
    </row>
    <row r="1102" spans="1:2" ht="30" customHeight="1">
      <c r="A1102" s="178" t="str">
        <f t="shared" si="34"/>
        <v>00/01/yyyy376</v>
      </c>
      <c r="B1102" s="171">
        <f t="shared" si="35"/>
        <v>376</v>
      </c>
    </row>
    <row r="1103" spans="1:2" ht="30" customHeight="1">
      <c r="A1103" s="178" t="str">
        <f t="shared" si="34"/>
        <v>00/01/yyyy377</v>
      </c>
      <c r="B1103" s="171">
        <f t="shared" si="35"/>
        <v>377</v>
      </c>
    </row>
    <row r="1104" spans="1:2" ht="30" customHeight="1">
      <c r="A1104" s="178" t="str">
        <f t="shared" si="34"/>
        <v>00/01/yyyy378</v>
      </c>
      <c r="B1104" s="171">
        <f t="shared" si="35"/>
        <v>378</v>
      </c>
    </row>
    <row r="1105" spans="1:2" ht="30" customHeight="1">
      <c r="A1105" s="178" t="str">
        <f t="shared" si="34"/>
        <v>00/01/yyyy379</v>
      </c>
      <c r="B1105" s="171">
        <f t="shared" si="35"/>
        <v>379</v>
      </c>
    </row>
    <row r="1106" spans="1:2" ht="30" customHeight="1">
      <c r="A1106" s="178" t="str">
        <f t="shared" si="34"/>
        <v>00/01/yyyy380</v>
      </c>
      <c r="B1106" s="171">
        <f t="shared" si="35"/>
        <v>380</v>
      </c>
    </row>
    <row r="1107" spans="1:2" ht="30" customHeight="1">
      <c r="A1107" s="178" t="str">
        <f t="shared" si="34"/>
        <v>00/01/yyyy381</v>
      </c>
      <c r="B1107" s="171">
        <f t="shared" si="35"/>
        <v>381</v>
      </c>
    </row>
    <row r="1108" spans="1:2" ht="30" customHeight="1">
      <c r="A1108" s="178" t="str">
        <f t="shared" si="34"/>
        <v>00/01/yyyy382</v>
      </c>
      <c r="B1108" s="171">
        <f t="shared" si="35"/>
        <v>382</v>
      </c>
    </row>
    <row r="1109" spans="1:2" ht="30" customHeight="1">
      <c r="A1109" s="178" t="str">
        <f t="shared" si="34"/>
        <v>00/01/yyyy383</v>
      </c>
      <c r="B1109" s="171">
        <f t="shared" si="35"/>
        <v>383</v>
      </c>
    </row>
    <row r="1110" spans="1:2" ht="30" customHeight="1">
      <c r="A1110" s="178" t="str">
        <f t="shared" si="34"/>
        <v>00/01/yyyy384</v>
      </c>
      <c r="B1110" s="171">
        <f t="shared" si="35"/>
        <v>384</v>
      </c>
    </row>
    <row r="1111" spans="1:2" ht="30" customHeight="1">
      <c r="A1111" s="178" t="str">
        <f t="shared" si="34"/>
        <v>00/01/yyyy385</v>
      </c>
      <c r="B1111" s="171">
        <f t="shared" si="35"/>
        <v>385</v>
      </c>
    </row>
    <row r="1112" spans="1:2" ht="30" customHeight="1">
      <c r="A1112" s="178" t="str">
        <f t="shared" si="34"/>
        <v>00/01/yyyy386</v>
      </c>
      <c r="B1112" s="171">
        <f t="shared" si="35"/>
        <v>386</v>
      </c>
    </row>
    <row r="1113" spans="1:2" ht="30" customHeight="1">
      <c r="A1113" s="178" t="str">
        <f t="shared" si="34"/>
        <v>00/01/yyyy387</v>
      </c>
      <c r="B1113" s="171">
        <f t="shared" si="35"/>
        <v>387</v>
      </c>
    </row>
    <row r="1114" spans="1:2" ht="30" customHeight="1">
      <c r="A1114" s="178" t="str">
        <f t="shared" si="34"/>
        <v>00/01/yyyy388</v>
      </c>
      <c r="B1114" s="171">
        <f t="shared" si="35"/>
        <v>388</v>
      </c>
    </row>
    <row r="1115" spans="1:2" ht="30" customHeight="1">
      <c r="A1115" s="178" t="str">
        <f t="shared" si="34"/>
        <v>00/01/yyyy389</v>
      </c>
      <c r="B1115" s="171">
        <f t="shared" si="35"/>
        <v>389</v>
      </c>
    </row>
    <row r="1116" spans="1:2" ht="30" customHeight="1">
      <c r="A1116" s="178" t="str">
        <f t="shared" si="34"/>
        <v>00/01/yyyy390</v>
      </c>
      <c r="B1116" s="171">
        <f t="shared" si="35"/>
        <v>390</v>
      </c>
    </row>
    <row r="1117" spans="1:2" ht="30" customHeight="1">
      <c r="A1117" s="178" t="str">
        <f t="shared" si="34"/>
        <v>00/01/yyyy391</v>
      </c>
      <c r="B1117" s="171">
        <f t="shared" si="35"/>
        <v>391</v>
      </c>
    </row>
    <row r="1118" spans="1:2" ht="30" customHeight="1">
      <c r="A1118" s="178" t="str">
        <f t="shared" si="34"/>
        <v>00/01/yyyy392</v>
      </c>
      <c r="B1118" s="171">
        <f t="shared" si="35"/>
        <v>392</v>
      </c>
    </row>
    <row r="1119" spans="1:2" ht="30" customHeight="1">
      <c r="A1119" s="178" t="str">
        <f t="shared" si="34"/>
        <v>00/01/yyyy393</v>
      </c>
      <c r="B1119" s="171">
        <f t="shared" si="35"/>
        <v>393</v>
      </c>
    </row>
    <row r="1120" spans="1:2" ht="30" customHeight="1">
      <c r="A1120" s="178" t="str">
        <f t="shared" si="34"/>
        <v>00/01/yyyy394</v>
      </c>
      <c r="B1120" s="171">
        <f t="shared" si="35"/>
        <v>394</v>
      </c>
    </row>
    <row r="1121" spans="1:2" ht="30" customHeight="1">
      <c r="A1121" s="178" t="str">
        <f t="shared" si="34"/>
        <v>00/01/yyyy395</v>
      </c>
      <c r="B1121" s="171">
        <f t="shared" si="35"/>
        <v>395</v>
      </c>
    </row>
    <row r="1122" spans="1:2" ht="30" customHeight="1">
      <c r="A1122" s="178" t="str">
        <f t="shared" si="34"/>
        <v>00/01/yyyy396</v>
      </c>
      <c r="B1122" s="171">
        <f t="shared" si="35"/>
        <v>396</v>
      </c>
    </row>
    <row r="1123" spans="1:2" ht="30" customHeight="1">
      <c r="A1123" s="178" t="str">
        <f t="shared" si="34"/>
        <v>00/01/yyyy397</v>
      </c>
      <c r="B1123" s="171">
        <f t="shared" si="35"/>
        <v>397</v>
      </c>
    </row>
    <row r="1124" spans="1:2" ht="30" customHeight="1">
      <c r="A1124" s="178" t="str">
        <f t="shared" si="34"/>
        <v>00/01/yyyy398</v>
      </c>
      <c r="B1124" s="171">
        <f t="shared" si="35"/>
        <v>398</v>
      </c>
    </row>
    <row r="1125" spans="1:2" ht="30" customHeight="1">
      <c r="A1125" s="178" t="str">
        <f t="shared" si="34"/>
        <v>00/01/yyyy399</v>
      </c>
      <c r="B1125" s="171">
        <f t="shared" si="35"/>
        <v>399</v>
      </c>
    </row>
    <row r="1126" spans="1:2" ht="30" customHeight="1">
      <c r="A1126" s="178" t="str">
        <f t="shared" si="34"/>
        <v>00/01/yyyy400</v>
      </c>
      <c r="B1126" s="171">
        <f t="shared" si="35"/>
        <v>400</v>
      </c>
    </row>
    <row r="1127" spans="1:2" ht="30" customHeight="1">
      <c r="A1127" s="178" t="str">
        <f t="shared" si="34"/>
        <v>00/01/yyyy401</v>
      </c>
      <c r="B1127" s="171">
        <f t="shared" si="35"/>
        <v>401</v>
      </c>
    </row>
    <row r="1128" spans="1:2" ht="30" customHeight="1">
      <c r="A1128" s="178" t="str">
        <f t="shared" si="34"/>
        <v>00/01/yyyy402</v>
      </c>
      <c r="B1128" s="171">
        <f t="shared" si="35"/>
        <v>402</v>
      </c>
    </row>
    <row r="1129" spans="1:2" ht="30" customHeight="1">
      <c r="A1129" s="178" t="str">
        <f t="shared" si="34"/>
        <v>00/01/yyyy403</v>
      </c>
      <c r="B1129" s="171">
        <f t="shared" si="35"/>
        <v>403</v>
      </c>
    </row>
    <row r="1130" spans="1:2" ht="30" customHeight="1">
      <c r="A1130" s="178" t="str">
        <f t="shared" si="34"/>
        <v>00/01/yyyy404</v>
      </c>
      <c r="B1130" s="171">
        <f t="shared" si="35"/>
        <v>404</v>
      </c>
    </row>
    <row r="1131" spans="1:2" ht="30" customHeight="1">
      <c r="A1131" s="178" t="str">
        <f t="shared" si="34"/>
        <v>00/01/yyyy405</v>
      </c>
      <c r="B1131" s="171">
        <f t="shared" si="35"/>
        <v>405</v>
      </c>
    </row>
    <row r="1132" spans="1:2" ht="30" customHeight="1">
      <c r="A1132" s="178" t="str">
        <f t="shared" si="34"/>
        <v>00/01/yyyy406</v>
      </c>
      <c r="B1132" s="171">
        <f t="shared" si="35"/>
        <v>406</v>
      </c>
    </row>
    <row r="1133" spans="1:2" ht="30" customHeight="1">
      <c r="A1133" s="178" t="str">
        <f t="shared" si="34"/>
        <v>00/01/yyyy407</v>
      </c>
      <c r="B1133" s="171">
        <f t="shared" si="35"/>
        <v>407</v>
      </c>
    </row>
    <row r="1134" spans="1:2" ht="30" customHeight="1">
      <c r="A1134" s="178" t="str">
        <f t="shared" si="34"/>
        <v>00/01/yyyy408</v>
      </c>
      <c r="B1134" s="171">
        <f t="shared" si="35"/>
        <v>408</v>
      </c>
    </row>
    <row r="1135" spans="1:2" ht="30" customHeight="1">
      <c r="A1135" s="178" t="str">
        <f t="shared" si="34"/>
        <v>00/01/yyyy409</v>
      </c>
      <c r="B1135" s="171">
        <f t="shared" si="35"/>
        <v>409</v>
      </c>
    </row>
    <row r="1136" spans="1:2" ht="30" customHeight="1">
      <c r="A1136" s="178" t="str">
        <f t="shared" si="34"/>
        <v>00/01/yyyy410</v>
      </c>
      <c r="B1136" s="171">
        <f t="shared" si="35"/>
        <v>410</v>
      </c>
    </row>
    <row r="1137" spans="1:2" ht="30" customHeight="1">
      <c r="A1137" s="178" t="str">
        <f t="shared" si="34"/>
        <v>00/01/yyyy411</v>
      </c>
      <c r="B1137" s="171">
        <f t="shared" si="35"/>
        <v>411</v>
      </c>
    </row>
    <row r="1138" spans="1:2" ht="30" customHeight="1">
      <c r="A1138" s="178" t="str">
        <f t="shared" si="34"/>
        <v>00/01/yyyy412</v>
      </c>
      <c r="B1138" s="171">
        <f t="shared" si="35"/>
        <v>412</v>
      </c>
    </row>
    <row r="1139" spans="1:2" ht="30" customHeight="1">
      <c r="A1139" s="178" t="str">
        <f t="shared" si="34"/>
        <v>00/01/yyyy413</v>
      </c>
      <c r="B1139" s="171">
        <f t="shared" si="35"/>
        <v>413</v>
      </c>
    </row>
    <row r="1140" spans="1:2" ht="30" customHeight="1">
      <c r="A1140" s="178" t="str">
        <f t="shared" si="34"/>
        <v>00/01/yyyy414</v>
      </c>
      <c r="B1140" s="171">
        <f t="shared" si="35"/>
        <v>414</v>
      </c>
    </row>
    <row r="1141" spans="1:2" ht="30" customHeight="1">
      <c r="A1141" s="178" t="str">
        <f t="shared" si="34"/>
        <v>00/01/yyyy415</v>
      </c>
      <c r="B1141" s="171">
        <f t="shared" si="35"/>
        <v>415</v>
      </c>
    </row>
    <row r="1142" spans="1:2" ht="30" customHeight="1">
      <c r="A1142" s="178" t="str">
        <f t="shared" si="34"/>
        <v>00/01/yyyy416</v>
      </c>
      <c r="B1142" s="171">
        <f t="shared" si="35"/>
        <v>416</v>
      </c>
    </row>
    <row r="1143" spans="1:2" ht="30" customHeight="1">
      <c r="A1143" s="178" t="str">
        <f t="shared" si="34"/>
        <v>00/01/yyyy417</v>
      </c>
      <c r="B1143" s="171">
        <f t="shared" si="35"/>
        <v>417</v>
      </c>
    </row>
    <row r="1144" spans="1:2" ht="30" customHeight="1">
      <c r="A1144" s="178" t="str">
        <f t="shared" si="34"/>
        <v>00/01/yyyy418</v>
      </c>
      <c r="B1144" s="171">
        <f t="shared" si="35"/>
        <v>418</v>
      </c>
    </row>
    <row r="1145" spans="1:2" ht="30" customHeight="1">
      <c r="A1145" s="178" t="str">
        <f t="shared" si="34"/>
        <v>00/01/yyyy419</v>
      </c>
      <c r="B1145" s="171">
        <f t="shared" si="35"/>
        <v>419</v>
      </c>
    </row>
    <row r="1146" spans="1:2" ht="30" customHeight="1">
      <c r="A1146" s="178" t="str">
        <f t="shared" si="34"/>
        <v>00/01/yyyy420</v>
      </c>
      <c r="B1146" s="171">
        <f t="shared" si="35"/>
        <v>420</v>
      </c>
    </row>
    <row r="1147" spans="1:2" ht="30" customHeight="1">
      <c r="A1147" s="178" t="str">
        <f t="shared" si="34"/>
        <v>00/01/yyyy421</v>
      </c>
      <c r="B1147" s="171">
        <f t="shared" si="35"/>
        <v>421</v>
      </c>
    </row>
    <row r="1148" spans="1:2" ht="30" customHeight="1">
      <c r="A1148" s="178" t="str">
        <f t="shared" si="34"/>
        <v>00/01/yyyy422</v>
      </c>
      <c r="B1148" s="171">
        <f t="shared" si="35"/>
        <v>422</v>
      </c>
    </row>
    <row r="1149" spans="1:2" ht="30" customHeight="1">
      <c r="A1149" s="178" t="str">
        <f t="shared" si="34"/>
        <v>00/01/yyyy423</v>
      </c>
      <c r="B1149" s="171">
        <f t="shared" si="35"/>
        <v>423</v>
      </c>
    </row>
    <row r="1150" spans="1:2" ht="30" customHeight="1">
      <c r="A1150" s="178" t="str">
        <f t="shared" si="34"/>
        <v>00/01/yyyy424</v>
      </c>
      <c r="B1150" s="171">
        <f t="shared" si="35"/>
        <v>424</v>
      </c>
    </row>
    <row r="1151" spans="1:2" ht="30" customHeight="1">
      <c r="A1151" s="178" t="str">
        <f t="shared" si="34"/>
        <v>00/01/yyyy425</v>
      </c>
      <c r="B1151" s="171">
        <f t="shared" si="35"/>
        <v>425</v>
      </c>
    </row>
    <row r="1152" spans="1:2" ht="30" customHeight="1">
      <c r="A1152" s="178" t="str">
        <f t="shared" si="34"/>
        <v>00/01/yyyy426</v>
      </c>
      <c r="B1152" s="171">
        <f t="shared" si="35"/>
        <v>426</v>
      </c>
    </row>
    <row r="1153" spans="1:2" ht="30" customHeight="1">
      <c r="A1153" s="178" t="str">
        <f t="shared" si="34"/>
        <v>00/01/yyyy427</v>
      </c>
      <c r="B1153" s="171">
        <f t="shared" si="35"/>
        <v>427</v>
      </c>
    </row>
    <row r="1154" spans="1:2" ht="30" customHeight="1">
      <c r="A1154" s="178" t="str">
        <f t="shared" si="34"/>
        <v>00/01/yyyy428</v>
      </c>
      <c r="B1154" s="171">
        <f t="shared" si="35"/>
        <v>428</v>
      </c>
    </row>
    <row r="1155" spans="1:2" ht="30" customHeight="1">
      <c r="A1155" s="178" t="str">
        <f t="shared" ref="A1155:A1218" si="36">CONCATENATE(TEXT($G1155,"dd/mm/yyyy"),$B1155)</f>
        <v>00/01/yyyy429</v>
      </c>
      <c r="B1155" s="171">
        <f t="shared" si="35"/>
        <v>429</v>
      </c>
    </row>
    <row r="1156" spans="1:2" ht="30" customHeight="1">
      <c r="A1156" s="178" t="str">
        <f t="shared" si="36"/>
        <v>00/01/yyyy430</v>
      </c>
      <c r="B1156" s="171">
        <f t="shared" ref="B1156:B1219" si="37">IF($G1156=$G1155,$B1155+1,1)</f>
        <v>430</v>
      </c>
    </row>
    <row r="1157" spans="1:2" ht="30" customHeight="1">
      <c r="A1157" s="178" t="str">
        <f t="shared" si="36"/>
        <v>00/01/yyyy431</v>
      </c>
      <c r="B1157" s="171">
        <f t="shared" si="37"/>
        <v>431</v>
      </c>
    </row>
    <row r="1158" spans="1:2" ht="30" customHeight="1">
      <c r="A1158" s="178" t="str">
        <f t="shared" si="36"/>
        <v>00/01/yyyy432</v>
      </c>
      <c r="B1158" s="171">
        <f t="shared" si="37"/>
        <v>432</v>
      </c>
    </row>
    <row r="1159" spans="1:2" ht="30" customHeight="1">
      <c r="A1159" s="178" t="str">
        <f t="shared" si="36"/>
        <v>00/01/yyyy433</v>
      </c>
      <c r="B1159" s="171">
        <f t="shared" si="37"/>
        <v>433</v>
      </c>
    </row>
    <row r="1160" spans="1:2" ht="30" customHeight="1">
      <c r="A1160" s="178" t="str">
        <f t="shared" si="36"/>
        <v>00/01/yyyy434</v>
      </c>
      <c r="B1160" s="171">
        <f t="shared" si="37"/>
        <v>434</v>
      </c>
    </row>
    <row r="1161" spans="1:2" ht="30" customHeight="1">
      <c r="A1161" s="178" t="str">
        <f t="shared" si="36"/>
        <v>00/01/yyyy435</v>
      </c>
      <c r="B1161" s="171">
        <f t="shared" si="37"/>
        <v>435</v>
      </c>
    </row>
    <row r="1162" spans="1:2" ht="30" customHeight="1">
      <c r="A1162" s="178" t="str">
        <f t="shared" si="36"/>
        <v>00/01/yyyy436</v>
      </c>
      <c r="B1162" s="171">
        <f t="shared" si="37"/>
        <v>436</v>
      </c>
    </row>
    <row r="1163" spans="1:2" ht="30" customHeight="1">
      <c r="A1163" s="178" t="str">
        <f t="shared" si="36"/>
        <v>00/01/yyyy437</v>
      </c>
      <c r="B1163" s="171">
        <f t="shared" si="37"/>
        <v>437</v>
      </c>
    </row>
    <row r="1164" spans="1:2" ht="30" customHeight="1">
      <c r="A1164" s="178" t="str">
        <f t="shared" si="36"/>
        <v>00/01/yyyy438</v>
      </c>
      <c r="B1164" s="171">
        <f t="shared" si="37"/>
        <v>438</v>
      </c>
    </row>
    <row r="1165" spans="1:2" ht="30" customHeight="1">
      <c r="A1165" s="178" t="str">
        <f t="shared" si="36"/>
        <v>00/01/yyyy439</v>
      </c>
      <c r="B1165" s="171">
        <f t="shared" si="37"/>
        <v>439</v>
      </c>
    </row>
    <row r="1166" spans="1:2" ht="30" customHeight="1">
      <c r="A1166" s="178" t="str">
        <f t="shared" si="36"/>
        <v>00/01/yyyy440</v>
      </c>
      <c r="B1166" s="171">
        <f t="shared" si="37"/>
        <v>440</v>
      </c>
    </row>
    <row r="1167" spans="1:2" ht="30" customHeight="1">
      <c r="A1167" s="178" t="str">
        <f t="shared" si="36"/>
        <v>00/01/yyyy441</v>
      </c>
      <c r="B1167" s="171">
        <f t="shared" si="37"/>
        <v>441</v>
      </c>
    </row>
    <row r="1168" spans="1:2" ht="30" customHeight="1">
      <c r="A1168" s="178" t="str">
        <f t="shared" si="36"/>
        <v>00/01/yyyy442</v>
      </c>
      <c r="B1168" s="171">
        <f t="shared" si="37"/>
        <v>442</v>
      </c>
    </row>
    <row r="1169" spans="1:2" ht="30" customHeight="1">
      <c r="A1169" s="178" t="str">
        <f t="shared" si="36"/>
        <v>00/01/yyyy443</v>
      </c>
      <c r="B1169" s="171">
        <f t="shared" si="37"/>
        <v>443</v>
      </c>
    </row>
    <row r="1170" spans="1:2" ht="30" customHeight="1">
      <c r="A1170" s="178" t="str">
        <f t="shared" si="36"/>
        <v>00/01/yyyy444</v>
      </c>
      <c r="B1170" s="171">
        <f t="shared" si="37"/>
        <v>444</v>
      </c>
    </row>
    <row r="1171" spans="1:2" ht="30" customHeight="1">
      <c r="A1171" s="178" t="str">
        <f t="shared" si="36"/>
        <v>00/01/yyyy445</v>
      </c>
      <c r="B1171" s="171">
        <f t="shared" si="37"/>
        <v>445</v>
      </c>
    </row>
    <row r="1172" spans="1:2" ht="30" customHeight="1">
      <c r="A1172" s="178" t="str">
        <f t="shared" si="36"/>
        <v>00/01/yyyy446</v>
      </c>
      <c r="B1172" s="171">
        <f t="shared" si="37"/>
        <v>446</v>
      </c>
    </row>
    <row r="1173" spans="1:2" ht="30" customHeight="1">
      <c r="A1173" s="178" t="str">
        <f t="shared" si="36"/>
        <v>00/01/yyyy447</v>
      </c>
      <c r="B1173" s="171">
        <f t="shared" si="37"/>
        <v>447</v>
      </c>
    </row>
    <row r="1174" spans="1:2" ht="30" customHeight="1">
      <c r="A1174" s="178" t="str">
        <f t="shared" si="36"/>
        <v>00/01/yyyy448</v>
      </c>
      <c r="B1174" s="171">
        <f t="shared" si="37"/>
        <v>448</v>
      </c>
    </row>
    <row r="1175" spans="1:2" ht="30" customHeight="1">
      <c r="A1175" s="178" t="str">
        <f t="shared" si="36"/>
        <v>00/01/yyyy449</v>
      </c>
      <c r="B1175" s="171">
        <f t="shared" si="37"/>
        <v>449</v>
      </c>
    </row>
    <row r="1176" spans="1:2" ht="30" customHeight="1">
      <c r="A1176" s="178" t="str">
        <f t="shared" si="36"/>
        <v>00/01/yyyy450</v>
      </c>
      <c r="B1176" s="171">
        <f t="shared" si="37"/>
        <v>450</v>
      </c>
    </row>
    <row r="1177" spans="1:2" ht="30" customHeight="1">
      <c r="A1177" s="178" t="str">
        <f t="shared" si="36"/>
        <v>00/01/yyyy451</v>
      </c>
      <c r="B1177" s="171">
        <f t="shared" si="37"/>
        <v>451</v>
      </c>
    </row>
    <row r="1178" spans="1:2" ht="30" customHeight="1">
      <c r="A1178" s="178" t="str">
        <f t="shared" si="36"/>
        <v>00/01/yyyy452</v>
      </c>
      <c r="B1178" s="171">
        <f t="shared" si="37"/>
        <v>452</v>
      </c>
    </row>
    <row r="1179" spans="1:2" ht="30" customHeight="1">
      <c r="A1179" s="178" t="str">
        <f t="shared" si="36"/>
        <v>00/01/yyyy453</v>
      </c>
      <c r="B1179" s="171">
        <f t="shared" si="37"/>
        <v>453</v>
      </c>
    </row>
    <row r="1180" spans="1:2" ht="30" customHeight="1">
      <c r="A1180" s="178" t="str">
        <f t="shared" si="36"/>
        <v>00/01/yyyy454</v>
      </c>
      <c r="B1180" s="171">
        <f t="shared" si="37"/>
        <v>454</v>
      </c>
    </row>
    <row r="1181" spans="1:2" ht="30" customHeight="1">
      <c r="A1181" s="178" t="str">
        <f t="shared" si="36"/>
        <v>00/01/yyyy455</v>
      </c>
      <c r="B1181" s="171">
        <f t="shared" si="37"/>
        <v>455</v>
      </c>
    </row>
    <row r="1182" spans="1:2" ht="30" customHeight="1">
      <c r="A1182" s="178" t="str">
        <f t="shared" si="36"/>
        <v>00/01/yyyy456</v>
      </c>
      <c r="B1182" s="171">
        <f t="shared" si="37"/>
        <v>456</v>
      </c>
    </row>
    <row r="1183" spans="1:2" ht="30" customHeight="1">
      <c r="A1183" s="178" t="str">
        <f t="shared" si="36"/>
        <v>00/01/yyyy457</v>
      </c>
      <c r="B1183" s="171">
        <f t="shared" si="37"/>
        <v>457</v>
      </c>
    </row>
    <row r="1184" spans="1:2" ht="30" customHeight="1">
      <c r="A1184" s="178" t="str">
        <f t="shared" si="36"/>
        <v>00/01/yyyy458</v>
      </c>
      <c r="B1184" s="171">
        <f t="shared" si="37"/>
        <v>458</v>
      </c>
    </row>
    <row r="1185" spans="1:2" ht="30" customHeight="1">
      <c r="A1185" s="178" t="str">
        <f t="shared" si="36"/>
        <v>00/01/yyyy459</v>
      </c>
      <c r="B1185" s="171">
        <f t="shared" si="37"/>
        <v>459</v>
      </c>
    </row>
    <row r="1186" spans="1:2" ht="30" customHeight="1">
      <c r="A1186" s="178" t="str">
        <f t="shared" si="36"/>
        <v>00/01/yyyy460</v>
      </c>
      <c r="B1186" s="171">
        <f t="shared" si="37"/>
        <v>460</v>
      </c>
    </row>
    <row r="1187" spans="1:2" ht="30" customHeight="1">
      <c r="A1187" s="178" t="str">
        <f t="shared" si="36"/>
        <v>00/01/yyyy461</v>
      </c>
      <c r="B1187" s="171">
        <f t="shared" si="37"/>
        <v>461</v>
      </c>
    </row>
    <row r="1188" spans="1:2" ht="30" customHeight="1">
      <c r="A1188" s="178" t="str">
        <f t="shared" si="36"/>
        <v>00/01/yyyy462</v>
      </c>
      <c r="B1188" s="171">
        <f t="shared" si="37"/>
        <v>462</v>
      </c>
    </row>
    <row r="1189" spans="1:2" ht="30" customHeight="1">
      <c r="A1189" s="178" t="str">
        <f t="shared" si="36"/>
        <v>00/01/yyyy463</v>
      </c>
      <c r="B1189" s="171">
        <f t="shared" si="37"/>
        <v>463</v>
      </c>
    </row>
    <row r="1190" spans="1:2" ht="30" customHeight="1">
      <c r="A1190" s="178" t="str">
        <f t="shared" si="36"/>
        <v>00/01/yyyy464</v>
      </c>
      <c r="B1190" s="171">
        <f t="shared" si="37"/>
        <v>464</v>
      </c>
    </row>
    <row r="1191" spans="1:2" ht="30" customHeight="1">
      <c r="A1191" s="178" t="str">
        <f t="shared" si="36"/>
        <v>00/01/yyyy465</v>
      </c>
      <c r="B1191" s="171">
        <f t="shared" si="37"/>
        <v>465</v>
      </c>
    </row>
    <row r="1192" spans="1:2" ht="30" customHeight="1">
      <c r="A1192" s="178" t="str">
        <f t="shared" si="36"/>
        <v>00/01/yyyy466</v>
      </c>
      <c r="B1192" s="171">
        <f t="shared" si="37"/>
        <v>466</v>
      </c>
    </row>
    <row r="1193" spans="1:2" ht="30" customHeight="1">
      <c r="A1193" s="178" t="str">
        <f t="shared" si="36"/>
        <v>00/01/yyyy467</v>
      </c>
      <c r="B1193" s="171">
        <f t="shared" si="37"/>
        <v>467</v>
      </c>
    </row>
    <row r="1194" spans="1:2" ht="30" customHeight="1">
      <c r="A1194" s="178" t="str">
        <f t="shared" si="36"/>
        <v>00/01/yyyy468</v>
      </c>
      <c r="B1194" s="171">
        <f t="shared" si="37"/>
        <v>468</v>
      </c>
    </row>
    <row r="1195" spans="1:2" ht="30" customHeight="1">
      <c r="A1195" s="178" t="str">
        <f t="shared" si="36"/>
        <v>00/01/yyyy469</v>
      </c>
      <c r="B1195" s="171">
        <f t="shared" si="37"/>
        <v>469</v>
      </c>
    </row>
    <row r="1196" spans="1:2" ht="30" customHeight="1">
      <c r="A1196" s="178" t="str">
        <f t="shared" si="36"/>
        <v>00/01/yyyy470</v>
      </c>
      <c r="B1196" s="171">
        <f t="shared" si="37"/>
        <v>470</v>
      </c>
    </row>
    <row r="1197" spans="1:2" ht="30" customHeight="1">
      <c r="A1197" s="178" t="str">
        <f t="shared" si="36"/>
        <v>00/01/yyyy471</v>
      </c>
      <c r="B1197" s="171">
        <f t="shared" si="37"/>
        <v>471</v>
      </c>
    </row>
    <row r="1198" spans="1:2" ht="30" customHeight="1">
      <c r="A1198" s="178" t="str">
        <f t="shared" si="36"/>
        <v>00/01/yyyy472</v>
      </c>
      <c r="B1198" s="171">
        <f t="shared" si="37"/>
        <v>472</v>
      </c>
    </row>
    <row r="1199" spans="1:2" ht="30" customHeight="1">
      <c r="A1199" s="178" t="str">
        <f t="shared" si="36"/>
        <v>00/01/yyyy473</v>
      </c>
      <c r="B1199" s="171">
        <f t="shared" si="37"/>
        <v>473</v>
      </c>
    </row>
    <row r="1200" spans="1:2" ht="30" customHeight="1">
      <c r="A1200" s="178" t="str">
        <f t="shared" si="36"/>
        <v>00/01/yyyy474</v>
      </c>
      <c r="B1200" s="171">
        <f t="shared" si="37"/>
        <v>474</v>
      </c>
    </row>
    <row r="1201" spans="1:2" ht="30" customHeight="1">
      <c r="A1201" s="178" t="str">
        <f t="shared" si="36"/>
        <v>00/01/yyyy475</v>
      </c>
      <c r="B1201" s="171">
        <f t="shared" si="37"/>
        <v>475</v>
      </c>
    </row>
    <row r="1202" spans="1:2" ht="30" customHeight="1">
      <c r="A1202" s="178" t="str">
        <f t="shared" si="36"/>
        <v>00/01/yyyy476</v>
      </c>
      <c r="B1202" s="171">
        <f t="shared" si="37"/>
        <v>476</v>
      </c>
    </row>
    <row r="1203" spans="1:2" ht="30" customHeight="1">
      <c r="A1203" s="178" t="str">
        <f t="shared" si="36"/>
        <v>00/01/yyyy477</v>
      </c>
      <c r="B1203" s="171">
        <f t="shared" si="37"/>
        <v>477</v>
      </c>
    </row>
    <row r="1204" spans="1:2" ht="30" customHeight="1">
      <c r="A1204" s="178" t="str">
        <f t="shared" si="36"/>
        <v>00/01/yyyy478</v>
      </c>
      <c r="B1204" s="171">
        <f t="shared" si="37"/>
        <v>478</v>
      </c>
    </row>
    <row r="1205" spans="1:2" ht="30" customHeight="1">
      <c r="A1205" s="178" t="str">
        <f t="shared" si="36"/>
        <v>00/01/yyyy479</v>
      </c>
      <c r="B1205" s="171">
        <f t="shared" si="37"/>
        <v>479</v>
      </c>
    </row>
    <row r="1206" spans="1:2" ht="30" customHeight="1">
      <c r="A1206" s="178" t="str">
        <f t="shared" si="36"/>
        <v>00/01/yyyy480</v>
      </c>
      <c r="B1206" s="171">
        <f t="shared" si="37"/>
        <v>480</v>
      </c>
    </row>
    <row r="1207" spans="1:2" ht="30" customHeight="1">
      <c r="A1207" s="178" t="str">
        <f t="shared" si="36"/>
        <v>00/01/yyyy481</v>
      </c>
      <c r="B1207" s="171">
        <f t="shared" si="37"/>
        <v>481</v>
      </c>
    </row>
    <row r="1208" spans="1:2" ht="30" customHeight="1">
      <c r="A1208" s="178" t="str">
        <f t="shared" si="36"/>
        <v>00/01/yyyy482</v>
      </c>
      <c r="B1208" s="171">
        <f t="shared" si="37"/>
        <v>482</v>
      </c>
    </row>
    <row r="1209" spans="1:2" ht="30" customHeight="1">
      <c r="A1209" s="178" t="str">
        <f t="shared" si="36"/>
        <v>00/01/yyyy483</v>
      </c>
      <c r="B1209" s="171">
        <f t="shared" si="37"/>
        <v>483</v>
      </c>
    </row>
    <row r="1210" spans="1:2" ht="30" customHeight="1">
      <c r="A1210" s="178" t="str">
        <f t="shared" si="36"/>
        <v>00/01/yyyy484</v>
      </c>
      <c r="B1210" s="171">
        <f t="shared" si="37"/>
        <v>484</v>
      </c>
    </row>
    <row r="1211" spans="1:2" ht="30" customHeight="1">
      <c r="A1211" s="178" t="str">
        <f t="shared" si="36"/>
        <v>00/01/yyyy485</v>
      </c>
      <c r="B1211" s="171">
        <f t="shared" si="37"/>
        <v>485</v>
      </c>
    </row>
    <row r="1212" spans="1:2" ht="30" customHeight="1">
      <c r="A1212" s="178" t="str">
        <f t="shared" si="36"/>
        <v>00/01/yyyy486</v>
      </c>
      <c r="B1212" s="171">
        <f t="shared" si="37"/>
        <v>486</v>
      </c>
    </row>
    <row r="1213" spans="1:2" ht="30" customHeight="1">
      <c r="A1213" s="178" t="str">
        <f t="shared" si="36"/>
        <v>00/01/yyyy487</v>
      </c>
      <c r="B1213" s="171">
        <f t="shared" si="37"/>
        <v>487</v>
      </c>
    </row>
    <row r="1214" spans="1:2" ht="30" customHeight="1">
      <c r="A1214" s="178" t="str">
        <f t="shared" si="36"/>
        <v>00/01/yyyy488</v>
      </c>
      <c r="B1214" s="171">
        <f t="shared" si="37"/>
        <v>488</v>
      </c>
    </row>
    <row r="1215" spans="1:2" ht="30" customHeight="1">
      <c r="A1215" s="178" t="str">
        <f t="shared" si="36"/>
        <v>00/01/yyyy489</v>
      </c>
      <c r="B1215" s="171">
        <f t="shared" si="37"/>
        <v>489</v>
      </c>
    </row>
    <row r="1216" spans="1:2" ht="30" customHeight="1">
      <c r="A1216" s="178" t="str">
        <f t="shared" si="36"/>
        <v>00/01/yyyy490</v>
      </c>
      <c r="B1216" s="171">
        <f t="shared" si="37"/>
        <v>490</v>
      </c>
    </row>
    <row r="1217" spans="1:2" ht="30" customHeight="1">
      <c r="A1217" s="178" t="str">
        <f t="shared" si="36"/>
        <v>00/01/yyyy491</v>
      </c>
      <c r="B1217" s="171">
        <f t="shared" si="37"/>
        <v>491</v>
      </c>
    </row>
    <row r="1218" spans="1:2" ht="30" customHeight="1">
      <c r="A1218" s="178" t="str">
        <f t="shared" si="36"/>
        <v>00/01/yyyy492</v>
      </c>
      <c r="B1218" s="171">
        <f t="shared" si="37"/>
        <v>492</v>
      </c>
    </row>
    <row r="1219" spans="1:2" ht="30" customHeight="1">
      <c r="A1219" s="178" t="str">
        <f t="shared" ref="A1219:A1282" si="38">CONCATENATE(TEXT($G1219,"dd/mm/yyyy"),$B1219)</f>
        <v>00/01/yyyy493</v>
      </c>
      <c r="B1219" s="171">
        <f t="shared" si="37"/>
        <v>493</v>
      </c>
    </row>
    <row r="1220" spans="1:2" ht="30" customHeight="1">
      <c r="A1220" s="178" t="str">
        <f t="shared" si="38"/>
        <v>00/01/yyyy494</v>
      </c>
      <c r="B1220" s="171">
        <f t="shared" ref="B1220:B1283" si="39">IF($G1220=$G1219,$B1219+1,1)</f>
        <v>494</v>
      </c>
    </row>
    <row r="1221" spans="1:2" ht="30" customHeight="1">
      <c r="A1221" s="178" t="str">
        <f t="shared" si="38"/>
        <v>00/01/yyyy495</v>
      </c>
      <c r="B1221" s="171">
        <f t="shared" si="39"/>
        <v>495</v>
      </c>
    </row>
    <row r="1222" spans="1:2" ht="30" customHeight="1">
      <c r="A1222" s="178" t="str">
        <f t="shared" si="38"/>
        <v>00/01/yyyy496</v>
      </c>
      <c r="B1222" s="171">
        <f t="shared" si="39"/>
        <v>496</v>
      </c>
    </row>
    <row r="1223" spans="1:2" ht="30" customHeight="1">
      <c r="A1223" s="178" t="str">
        <f t="shared" si="38"/>
        <v>00/01/yyyy497</v>
      </c>
      <c r="B1223" s="171">
        <f t="shared" si="39"/>
        <v>497</v>
      </c>
    </row>
    <row r="1224" spans="1:2" ht="30" customHeight="1">
      <c r="A1224" s="178" t="str">
        <f t="shared" si="38"/>
        <v>00/01/yyyy498</v>
      </c>
      <c r="B1224" s="171">
        <f t="shared" si="39"/>
        <v>498</v>
      </c>
    </row>
    <row r="1225" spans="1:2" ht="30" customHeight="1">
      <c r="A1225" s="178" t="str">
        <f t="shared" si="38"/>
        <v>00/01/yyyy499</v>
      </c>
      <c r="B1225" s="171">
        <f t="shared" si="39"/>
        <v>499</v>
      </c>
    </row>
    <row r="1226" spans="1:2" ht="30" customHeight="1">
      <c r="A1226" s="178" t="str">
        <f t="shared" si="38"/>
        <v>00/01/yyyy500</v>
      </c>
      <c r="B1226" s="171">
        <f t="shared" si="39"/>
        <v>500</v>
      </c>
    </row>
    <row r="1227" spans="1:2" ht="30" customHeight="1">
      <c r="A1227" s="178" t="str">
        <f t="shared" si="38"/>
        <v>00/01/yyyy501</v>
      </c>
      <c r="B1227" s="171">
        <f t="shared" si="39"/>
        <v>501</v>
      </c>
    </row>
    <row r="1228" spans="1:2" ht="30" customHeight="1">
      <c r="A1228" s="178" t="str">
        <f t="shared" si="38"/>
        <v>00/01/yyyy502</v>
      </c>
      <c r="B1228" s="171">
        <f t="shared" si="39"/>
        <v>502</v>
      </c>
    </row>
    <row r="1229" spans="1:2" ht="30" customHeight="1">
      <c r="A1229" s="178" t="str">
        <f t="shared" si="38"/>
        <v>00/01/yyyy503</v>
      </c>
      <c r="B1229" s="171">
        <f t="shared" si="39"/>
        <v>503</v>
      </c>
    </row>
    <row r="1230" spans="1:2" ht="30" customHeight="1">
      <c r="A1230" s="178" t="str">
        <f t="shared" si="38"/>
        <v>00/01/yyyy504</v>
      </c>
      <c r="B1230" s="171">
        <f t="shared" si="39"/>
        <v>504</v>
      </c>
    </row>
    <row r="1231" spans="1:2" ht="30" customHeight="1">
      <c r="A1231" s="178" t="str">
        <f t="shared" si="38"/>
        <v>00/01/yyyy505</v>
      </c>
      <c r="B1231" s="171">
        <f t="shared" si="39"/>
        <v>505</v>
      </c>
    </row>
    <row r="1232" spans="1:2" ht="30" customHeight="1">
      <c r="A1232" s="178" t="str">
        <f t="shared" si="38"/>
        <v>00/01/yyyy506</v>
      </c>
      <c r="B1232" s="171">
        <f t="shared" si="39"/>
        <v>506</v>
      </c>
    </row>
    <row r="1233" spans="1:2" ht="30" customHeight="1">
      <c r="A1233" s="178" t="str">
        <f t="shared" si="38"/>
        <v>00/01/yyyy507</v>
      </c>
      <c r="B1233" s="171">
        <f t="shared" si="39"/>
        <v>507</v>
      </c>
    </row>
    <row r="1234" spans="1:2" ht="30" customHeight="1">
      <c r="A1234" s="178" t="str">
        <f t="shared" si="38"/>
        <v>00/01/yyyy508</v>
      </c>
      <c r="B1234" s="171">
        <f t="shared" si="39"/>
        <v>508</v>
      </c>
    </row>
    <row r="1235" spans="1:2" ht="30" customHeight="1">
      <c r="A1235" s="178" t="str">
        <f t="shared" si="38"/>
        <v>00/01/yyyy509</v>
      </c>
      <c r="B1235" s="171">
        <f t="shared" si="39"/>
        <v>509</v>
      </c>
    </row>
    <row r="1236" spans="1:2" ht="30" customHeight="1">
      <c r="A1236" s="178" t="str">
        <f t="shared" si="38"/>
        <v>00/01/yyyy510</v>
      </c>
      <c r="B1236" s="171">
        <f t="shared" si="39"/>
        <v>510</v>
      </c>
    </row>
    <row r="1237" spans="1:2" ht="30" customHeight="1">
      <c r="A1237" s="178" t="str">
        <f t="shared" si="38"/>
        <v>00/01/yyyy511</v>
      </c>
      <c r="B1237" s="171">
        <f t="shared" si="39"/>
        <v>511</v>
      </c>
    </row>
    <row r="1238" spans="1:2" ht="30" customHeight="1">
      <c r="A1238" s="178" t="str">
        <f t="shared" si="38"/>
        <v>00/01/yyyy512</v>
      </c>
      <c r="B1238" s="171">
        <f t="shared" si="39"/>
        <v>512</v>
      </c>
    </row>
    <row r="1239" spans="1:2" ht="30" customHeight="1">
      <c r="A1239" s="178" t="str">
        <f t="shared" si="38"/>
        <v>00/01/yyyy513</v>
      </c>
      <c r="B1239" s="171">
        <f t="shared" si="39"/>
        <v>513</v>
      </c>
    </row>
    <row r="1240" spans="1:2" ht="30" customHeight="1">
      <c r="A1240" s="178" t="str">
        <f t="shared" si="38"/>
        <v>00/01/yyyy514</v>
      </c>
      <c r="B1240" s="171">
        <f t="shared" si="39"/>
        <v>514</v>
      </c>
    </row>
    <row r="1241" spans="1:2" ht="30" customHeight="1">
      <c r="A1241" s="178" t="str">
        <f t="shared" si="38"/>
        <v>00/01/yyyy515</v>
      </c>
      <c r="B1241" s="171">
        <f t="shared" si="39"/>
        <v>515</v>
      </c>
    </row>
    <row r="1242" spans="1:2" ht="30" customHeight="1">
      <c r="A1242" s="178" t="str">
        <f t="shared" si="38"/>
        <v>00/01/yyyy516</v>
      </c>
      <c r="B1242" s="171">
        <f t="shared" si="39"/>
        <v>516</v>
      </c>
    </row>
    <row r="1243" spans="1:2" ht="30" customHeight="1">
      <c r="A1243" s="178" t="str">
        <f t="shared" si="38"/>
        <v>00/01/yyyy517</v>
      </c>
      <c r="B1243" s="171">
        <f t="shared" si="39"/>
        <v>517</v>
      </c>
    </row>
    <row r="1244" spans="1:2" ht="30" customHeight="1">
      <c r="A1244" s="178" t="str">
        <f t="shared" si="38"/>
        <v>00/01/yyyy518</v>
      </c>
      <c r="B1244" s="171">
        <f t="shared" si="39"/>
        <v>518</v>
      </c>
    </row>
    <row r="1245" spans="1:2" ht="30" customHeight="1">
      <c r="A1245" s="178" t="str">
        <f t="shared" si="38"/>
        <v>00/01/yyyy519</v>
      </c>
      <c r="B1245" s="171">
        <f t="shared" si="39"/>
        <v>519</v>
      </c>
    </row>
    <row r="1246" spans="1:2" ht="30" customHeight="1">
      <c r="A1246" s="178" t="str">
        <f t="shared" si="38"/>
        <v>00/01/yyyy520</v>
      </c>
      <c r="B1246" s="171">
        <f t="shared" si="39"/>
        <v>520</v>
      </c>
    </row>
    <row r="1247" spans="1:2" ht="30" customHeight="1">
      <c r="A1247" s="178" t="str">
        <f t="shared" si="38"/>
        <v>00/01/yyyy521</v>
      </c>
      <c r="B1247" s="171">
        <f t="shared" si="39"/>
        <v>521</v>
      </c>
    </row>
    <row r="1248" spans="1:2" ht="30" customHeight="1">
      <c r="A1248" s="178" t="str">
        <f t="shared" si="38"/>
        <v>00/01/yyyy522</v>
      </c>
      <c r="B1248" s="171">
        <f t="shared" si="39"/>
        <v>522</v>
      </c>
    </row>
    <row r="1249" spans="1:2" ht="30" customHeight="1">
      <c r="A1249" s="178" t="str">
        <f t="shared" si="38"/>
        <v>00/01/yyyy523</v>
      </c>
      <c r="B1249" s="171">
        <f t="shared" si="39"/>
        <v>523</v>
      </c>
    </row>
    <row r="1250" spans="1:2" ht="30" customHeight="1">
      <c r="A1250" s="178" t="str">
        <f t="shared" si="38"/>
        <v>00/01/yyyy524</v>
      </c>
      <c r="B1250" s="171">
        <f t="shared" si="39"/>
        <v>524</v>
      </c>
    </row>
    <row r="1251" spans="1:2" ht="30" customHeight="1">
      <c r="A1251" s="178" t="str">
        <f t="shared" si="38"/>
        <v>00/01/yyyy525</v>
      </c>
      <c r="B1251" s="171">
        <f t="shared" si="39"/>
        <v>525</v>
      </c>
    </row>
    <row r="1252" spans="1:2" ht="30" customHeight="1">
      <c r="A1252" s="178" t="str">
        <f t="shared" si="38"/>
        <v>00/01/yyyy526</v>
      </c>
      <c r="B1252" s="171">
        <f t="shared" si="39"/>
        <v>526</v>
      </c>
    </row>
    <row r="1253" spans="1:2" ht="30" customHeight="1">
      <c r="A1253" s="178" t="str">
        <f t="shared" si="38"/>
        <v>00/01/yyyy527</v>
      </c>
      <c r="B1253" s="171">
        <f t="shared" si="39"/>
        <v>527</v>
      </c>
    </row>
    <row r="1254" spans="1:2" ht="30" customHeight="1">
      <c r="A1254" s="178" t="str">
        <f t="shared" si="38"/>
        <v>00/01/yyyy528</v>
      </c>
      <c r="B1254" s="171">
        <f t="shared" si="39"/>
        <v>528</v>
      </c>
    </row>
    <row r="1255" spans="1:2" ht="30" customHeight="1">
      <c r="A1255" s="178" t="str">
        <f t="shared" si="38"/>
        <v>00/01/yyyy529</v>
      </c>
      <c r="B1255" s="171">
        <f t="shared" si="39"/>
        <v>529</v>
      </c>
    </row>
    <row r="1256" spans="1:2" ht="30" customHeight="1">
      <c r="A1256" s="178" t="str">
        <f t="shared" si="38"/>
        <v>00/01/yyyy530</v>
      </c>
      <c r="B1256" s="171">
        <f t="shared" si="39"/>
        <v>530</v>
      </c>
    </row>
    <row r="1257" spans="1:2" ht="30" customHeight="1">
      <c r="A1257" s="178" t="str">
        <f t="shared" si="38"/>
        <v>00/01/yyyy531</v>
      </c>
      <c r="B1257" s="171">
        <f t="shared" si="39"/>
        <v>531</v>
      </c>
    </row>
    <row r="1258" spans="1:2" ht="30" customHeight="1">
      <c r="A1258" s="178" t="str">
        <f t="shared" si="38"/>
        <v>00/01/yyyy532</v>
      </c>
      <c r="B1258" s="171">
        <f t="shared" si="39"/>
        <v>532</v>
      </c>
    </row>
    <row r="1259" spans="1:2" ht="30" customHeight="1">
      <c r="A1259" s="178" t="str">
        <f t="shared" si="38"/>
        <v>00/01/yyyy533</v>
      </c>
      <c r="B1259" s="171">
        <f t="shared" si="39"/>
        <v>533</v>
      </c>
    </row>
    <row r="1260" spans="1:2" ht="30" customHeight="1">
      <c r="A1260" s="178" t="str">
        <f t="shared" si="38"/>
        <v>00/01/yyyy534</v>
      </c>
      <c r="B1260" s="171">
        <f t="shared" si="39"/>
        <v>534</v>
      </c>
    </row>
    <row r="1261" spans="1:2" ht="30" customHeight="1">
      <c r="A1261" s="178" t="str">
        <f t="shared" si="38"/>
        <v>00/01/yyyy535</v>
      </c>
      <c r="B1261" s="171">
        <f t="shared" si="39"/>
        <v>535</v>
      </c>
    </row>
    <row r="1262" spans="1:2" ht="30" customHeight="1">
      <c r="A1262" s="178" t="str">
        <f t="shared" si="38"/>
        <v>00/01/yyyy536</v>
      </c>
      <c r="B1262" s="171">
        <f t="shared" si="39"/>
        <v>536</v>
      </c>
    </row>
    <row r="1263" spans="1:2" ht="30" customHeight="1">
      <c r="A1263" s="178" t="str">
        <f t="shared" si="38"/>
        <v>00/01/yyyy537</v>
      </c>
      <c r="B1263" s="171">
        <f t="shared" si="39"/>
        <v>537</v>
      </c>
    </row>
    <row r="1264" spans="1:2" ht="30" customHeight="1">
      <c r="A1264" s="178" t="str">
        <f t="shared" si="38"/>
        <v>00/01/yyyy538</v>
      </c>
      <c r="B1264" s="171">
        <f t="shared" si="39"/>
        <v>538</v>
      </c>
    </row>
    <row r="1265" spans="1:2" ht="30" customHeight="1">
      <c r="A1265" s="178" t="str">
        <f t="shared" si="38"/>
        <v>00/01/yyyy539</v>
      </c>
      <c r="B1265" s="171">
        <f t="shared" si="39"/>
        <v>539</v>
      </c>
    </row>
    <row r="1266" spans="1:2" ht="30" customHeight="1">
      <c r="A1266" s="178" t="str">
        <f t="shared" si="38"/>
        <v>00/01/yyyy540</v>
      </c>
      <c r="B1266" s="171">
        <f t="shared" si="39"/>
        <v>540</v>
      </c>
    </row>
    <row r="1267" spans="1:2" ht="30" customHeight="1">
      <c r="A1267" s="178" t="str">
        <f t="shared" si="38"/>
        <v>00/01/yyyy541</v>
      </c>
      <c r="B1267" s="171">
        <f t="shared" si="39"/>
        <v>541</v>
      </c>
    </row>
    <row r="1268" spans="1:2" ht="30" customHeight="1">
      <c r="A1268" s="178" t="str">
        <f t="shared" si="38"/>
        <v>00/01/yyyy542</v>
      </c>
      <c r="B1268" s="171">
        <f t="shared" si="39"/>
        <v>542</v>
      </c>
    </row>
    <row r="1269" spans="1:2" ht="30" customHeight="1">
      <c r="A1269" s="178" t="str">
        <f t="shared" si="38"/>
        <v>00/01/yyyy543</v>
      </c>
      <c r="B1269" s="171">
        <f t="shared" si="39"/>
        <v>543</v>
      </c>
    </row>
    <row r="1270" spans="1:2" ht="30" customHeight="1">
      <c r="A1270" s="178" t="str">
        <f t="shared" si="38"/>
        <v>00/01/yyyy544</v>
      </c>
      <c r="B1270" s="171">
        <f t="shared" si="39"/>
        <v>544</v>
      </c>
    </row>
    <row r="1271" spans="1:2" ht="30" customHeight="1">
      <c r="A1271" s="178" t="str">
        <f t="shared" si="38"/>
        <v>00/01/yyyy545</v>
      </c>
      <c r="B1271" s="171">
        <f t="shared" si="39"/>
        <v>545</v>
      </c>
    </row>
    <row r="1272" spans="1:2" ht="30" customHeight="1">
      <c r="A1272" s="178" t="str">
        <f t="shared" si="38"/>
        <v>00/01/yyyy546</v>
      </c>
      <c r="B1272" s="171">
        <f t="shared" si="39"/>
        <v>546</v>
      </c>
    </row>
    <row r="1273" spans="1:2" ht="30" customHeight="1">
      <c r="A1273" s="178" t="str">
        <f t="shared" si="38"/>
        <v>00/01/yyyy547</v>
      </c>
      <c r="B1273" s="171">
        <f t="shared" si="39"/>
        <v>547</v>
      </c>
    </row>
    <row r="1274" spans="1:2" ht="30" customHeight="1">
      <c r="A1274" s="178" t="str">
        <f t="shared" si="38"/>
        <v>00/01/yyyy548</v>
      </c>
      <c r="B1274" s="171">
        <f t="shared" si="39"/>
        <v>548</v>
      </c>
    </row>
    <row r="1275" spans="1:2" ht="30" customHeight="1">
      <c r="A1275" s="178" t="str">
        <f t="shared" si="38"/>
        <v>00/01/yyyy549</v>
      </c>
      <c r="B1275" s="171">
        <f t="shared" si="39"/>
        <v>549</v>
      </c>
    </row>
    <row r="1276" spans="1:2" ht="30" customHeight="1">
      <c r="A1276" s="178" t="str">
        <f t="shared" si="38"/>
        <v>00/01/yyyy550</v>
      </c>
      <c r="B1276" s="171">
        <f t="shared" si="39"/>
        <v>550</v>
      </c>
    </row>
    <row r="1277" spans="1:2" ht="30" customHeight="1">
      <c r="A1277" s="178" t="str">
        <f t="shared" si="38"/>
        <v>00/01/yyyy551</v>
      </c>
      <c r="B1277" s="171">
        <f t="shared" si="39"/>
        <v>551</v>
      </c>
    </row>
    <row r="1278" spans="1:2" ht="30" customHeight="1">
      <c r="A1278" s="178" t="str">
        <f t="shared" si="38"/>
        <v>00/01/yyyy552</v>
      </c>
      <c r="B1278" s="171">
        <f t="shared" si="39"/>
        <v>552</v>
      </c>
    </row>
    <row r="1279" spans="1:2" ht="30" customHeight="1">
      <c r="A1279" s="178" t="str">
        <f t="shared" si="38"/>
        <v>00/01/yyyy553</v>
      </c>
      <c r="B1279" s="171">
        <f t="shared" si="39"/>
        <v>553</v>
      </c>
    </row>
    <row r="1280" spans="1:2" ht="30" customHeight="1">
      <c r="A1280" s="178" t="str">
        <f t="shared" si="38"/>
        <v>00/01/yyyy554</v>
      </c>
      <c r="B1280" s="171">
        <f t="shared" si="39"/>
        <v>554</v>
      </c>
    </row>
    <row r="1281" spans="1:2" ht="30" customHeight="1">
      <c r="A1281" s="178" t="str">
        <f t="shared" si="38"/>
        <v>00/01/yyyy555</v>
      </c>
      <c r="B1281" s="171">
        <f t="shared" si="39"/>
        <v>555</v>
      </c>
    </row>
    <row r="1282" spans="1:2" ht="30" customHeight="1">
      <c r="A1282" s="178" t="str">
        <f t="shared" si="38"/>
        <v>00/01/yyyy556</v>
      </c>
      <c r="B1282" s="171">
        <f t="shared" si="39"/>
        <v>556</v>
      </c>
    </row>
    <row r="1283" spans="1:2" ht="30" customHeight="1">
      <c r="A1283" s="178" t="str">
        <f t="shared" ref="A1283:A1346" si="40">CONCATENATE(TEXT($G1283,"dd/mm/yyyy"),$B1283)</f>
        <v>00/01/yyyy557</v>
      </c>
      <c r="B1283" s="171">
        <f t="shared" si="39"/>
        <v>557</v>
      </c>
    </row>
    <row r="1284" spans="1:2" ht="30" customHeight="1">
      <c r="A1284" s="178" t="str">
        <f t="shared" si="40"/>
        <v>00/01/yyyy558</v>
      </c>
      <c r="B1284" s="171">
        <f t="shared" ref="B1284:B1347" si="41">IF($G1284=$G1283,$B1283+1,1)</f>
        <v>558</v>
      </c>
    </row>
    <row r="1285" spans="1:2" ht="30" customHeight="1">
      <c r="A1285" s="178" t="str">
        <f t="shared" si="40"/>
        <v>00/01/yyyy559</v>
      </c>
      <c r="B1285" s="171">
        <f t="shared" si="41"/>
        <v>559</v>
      </c>
    </row>
    <row r="1286" spans="1:2" ht="30" customHeight="1">
      <c r="A1286" s="178" t="str">
        <f t="shared" si="40"/>
        <v>00/01/yyyy560</v>
      </c>
      <c r="B1286" s="171">
        <f t="shared" si="41"/>
        <v>560</v>
      </c>
    </row>
    <row r="1287" spans="1:2" ht="30" customHeight="1">
      <c r="A1287" s="178" t="str">
        <f t="shared" si="40"/>
        <v>00/01/yyyy561</v>
      </c>
      <c r="B1287" s="171">
        <f t="shared" si="41"/>
        <v>561</v>
      </c>
    </row>
    <row r="1288" spans="1:2" ht="30" customHeight="1">
      <c r="A1288" s="178" t="str">
        <f t="shared" si="40"/>
        <v>00/01/yyyy562</v>
      </c>
      <c r="B1288" s="171">
        <f t="shared" si="41"/>
        <v>562</v>
      </c>
    </row>
    <row r="1289" spans="1:2" ht="30" customHeight="1">
      <c r="A1289" s="178" t="str">
        <f t="shared" si="40"/>
        <v>00/01/yyyy563</v>
      </c>
      <c r="B1289" s="171">
        <f t="shared" si="41"/>
        <v>563</v>
      </c>
    </row>
    <row r="1290" spans="1:2" ht="30" customHeight="1">
      <c r="A1290" s="178" t="str">
        <f t="shared" si="40"/>
        <v>00/01/yyyy564</v>
      </c>
      <c r="B1290" s="171">
        <f t="shared" si="41"/>
        <v>564</v>
      </c>
    </row>
    <row r="1291" spans="1:2" ht="30" customHeight="1">
      <c r="A1291" s="178" t="str">
        <f t="shared" si="40"/>
        <v>00/01/yyyy565</v>
      </c>
      <c r="B1291" s="171">
        <f t="shared" si="41"/>
        <v>565</v>
      </c>
    </row>
    <row r="1292" spans="1:2" ht="30" customHeight="1">
      <c r="A1292" s="178" t="str">
        <f t="shared" si="40"/>
        <v>00/01/yyyy566</v>
      </c>
      <c r="B1292" s="171">
        <f t="shared" si="41"/>
        <v>566</v>
      </c>
    </row>
    <row r="1293" spans="1:2" ht="30" customHeight="1">
      <c r="A1293" s="178" t="str">
        <f t="shared" si="40"/>
        <v>00/01/yyyy567</v>
      </c>
      <c r="B1293" s="171">
        <f t="shared" si="41"/>
        <v>567</v>
      </c>
    </row>
    <row r="1294" spans="1:2" ht="30" customHeight="1">
      <c r="A1294" s="178" t="str">
        <f t="shared" si="40"/>
        <v>00/01/yyyy568</v>
      </c>
      <c r="B1294" s="171">
        <f t="shared" si="41"/>
        <v>568</v>
      </c>
    </row>
    <row r="1295" spans="1:2" ht="30" customHeight="1">
      <c r="A1295" s="178" t="str">
        <f t="shared" si="40"/>
        <v>00/01/yyyy569</v>
      </c>
      <c r="B1295" s="171">
        <f t="shared" si="41"/>
        <v>569</v>
      </c>
    </row>
    <row r="1296" spans="1:2" ht="30" customHeight="1">
      <c r="A1296" s="178" t="str">
        <f t="shared" si="40"/>
        <v>00/01/yyyy570</v>
      </c>
      <c r="B1296" s="171">
        <f t="shared" si="41"/>
        <v>570</v>
      </c>
    </row>
    <row r="1297" spans="1:2" ht="30" customHeight="1">
      <c r="A1297" s="178" t="str">
        <f t="shared" si="40"/>
        <v>00/01/yyyy571</v>
      </c>
      <c r="B1297" s="171">
        <f t="shared" si="41"/>
        <v>571</v>
      </c>
    </row>
    <row r="1298" spans="1:2" ht="30" customHeight="1">
      <c r="A1298" s="178" t="str">
        <f t="shared" si="40"/>
        <v>00/01/yyyy572</v>
      </c>
      <c r="B1298" s="171">
        <f t="shared" si="41"/>
        <v>572</v>
      </c>
    </row>
    <row r="1299" spans="1:2" ht="30" customHeight="1">
      <c r="A1299" s="178" t="str">
        <f t="shared" si="40"/>
        <v>00/01/yyyy573</v>
      </c>
      <c r="B1299" s="171">
        <f t="shared" si="41"/>
        <v>573</v>
      </c>
    </row>
    <row r="1300" spans="1:2" ht="30" customHeight="1">
      <c r="A1300" s="178" t="str">
        <f t="shared" si="40"/>
        <v>00/01/yyyy574</v>
      </c>
      <c r="B1300" s="171">
        <f t="shared" si="41"/>
        <v>574</v>
      </c>
    </row>
    <row r="1301" spans="1:2" ht="30" customHeight="1">
      <c r="A1301" s="178" t="str">
        <f t="shared" si="40"/>
        <v>00/01/yyyy575</v>
      </c>
      <c r="B1301" s="171">
        <f t="shared" si="41"/>
        <v>575</v>
      </c>
    </row>
    <row r="1302" spans="1:2" ht="30" customHeight="1">
      <c r="A1302" s="178" t="str">
        <f t="shared" si="40"/>
        <v>00/01/yyyy576</v>
      </c>
      <c r="B1302" s="171">
        <f t="shared" si="41"/>
        <v>576</v>
      </c>
    </row>
    <row r="1303" spans="1:2" ht="30" customHeight="1">
      <c r="A1303" s="178" t="str">
        <f t="shared" si="40"/>
        <v>00/01/yyyy577</v>
      </c>
      <c r="B1303" s="171">
        <f t="shared" si="41"/>
        <v>577</v>
      </c>
    </row>
    <row r="1304" spans="1:2" ht="30" customHeight="1">
      <c r="A1304" s="178" t="str">
        <f t="shared" si="40"/>
        <v>00/01/yyyy578</v>
      </c>
      <c r="B1304" s="171">
        <f t="shared" si="41"/>
        <v>578</v>
      </c>
    </row>
    <row r="1305" spans="1:2" ht="30" customHeight="1">
      <c r="A1305" s="178" t="str">
        <f t="shared" si="40"/>
        <v>00/01/yyyy579</v>
      </c>
      <c r="B1305" s="171">
        <f t="shared" si="41"/>
        <v>579</v>
      </c>
    </row>
    <row r="1306" spans="1:2" ht="30" customHeight="1">
      <c r="A1306" s="178" t="str">
        <f t="shared" si="40"/>
        <v>00/01/yyyy580</v>
      </c>
      <c r="B1306" s="171">
        <f t="shared" si="41"/>
        <v>580</v>
      </c>
    </row>
    <row r="1307" spans="1:2" ht="30" customHeight="1">
      <c r="A1307" s="178" t="str">
        <f t="shared" si="40"/>
        <v>00/01/yyyy581</v>
      </c>
      <c r="B1307" s="171">
        <f t="shared" si="41"/>
        <v>581</v>
      </c>
    </row>
    <row r="1308" spans="1:2" ht="30" customHeight="1">
      <c r="A1308" s="178" t="str">
        <f t="shared" si="40"/>
        <v>00/01/yyyy582</v>
      </c>
      <c r="B1308" s="171">
        <f t="shared" si="41"/>
        <v>582</v>
      </c>
    </row>
    <row r="1309" spans="1:2" ht="30" customHeight="1">
      <c r="A1309" s="178" t="str">
        <f t="shared" si="40"/>
        <v>00/01/yyyy583</v>
      </c>
      <c r="B1309" s="171">
        <f t="shared" si="41"/>
        <v>583</v>
      </c>
    </row>
    <row r="1310" spans="1:2" ht="30" customHeight="1">
      <c r="A1310" s="178" t="str">
        <f t="shared" si="40"/>
        <v>00/01/yyyy584</v>
      </c>
      <c r="B1310" s="171">
        <f t="shared" si="41"/>
        <v>584</v>
      </c>
    </row>
    <row r="1311" spans="1:2" ht="30" customHeight="1">
      <c r="A1311" s="178" t="str">
        <f t="shared" si="40"/>
        <v>00/01/yyyy585</v>
      </c>
      <c r="B1311" s="171">
        <f t="shared" si="41"/>
        <v>585</v>
      </c>
    </row>
    <row r="1312" spans="1:2" ht="30" customHeight="1">
      <c r="A1312" s="178" t="str">
        <f t="shared" si="40"/>
        <v>00/01/yyyy586</v>
      </c>
      <c r="B1312" s="171">
        <f t="shared" si="41"/>
        <v>586</v>
      </c>
    </row>
    <row r="1313" spans="1:2" ht="30" customHeight="1">
      <c r="A1313" s="178" t="str">
        <f t="shared" si="40"/>
        <v>00/01/yyyy587</v>
      </c>
      <c r="B1313" s="171">
        <f t="shared" si="41"/>
        <v>587</v>
      </c>
    </row>
    <row r="1314" spans="1:2" ht="30" customHeight="1">
      <c r="A1314" s="178" t="str">
        <f t="shared" si="40"/>
        <v>00/01/yyyy588</v>
      </c>
      <c r="B1314" s="171">
        <f t="shared" si="41"/>
        <v>588</v>
      </c>
    </row>
    <row r="1315" spans="1:2" ht="30" customHeight="1">
      <c r="A1315" s="178" t="str">
        <f t="shared" si="40"/>
        <v>00/01/yyyy589</v>
      </c>
      <c r="B1315" s="171">
        <f t="shared" si="41"/>
        <v>589</v>
      </c>
    </row>
    <row r="1316" spans="1:2" ht="30" customHeight="1">
      <c r="A1316" s="178" t="str">
        <f t="shared" si="40"/>
        <v>00/01/yyyy590</v>
      </c>
      <c r="B1316" s="171">
        <f t="shared" si="41"/>
        <v>590</v>
      </c>
    </row>
    <row r="1317" spans="1:2" ht="30" customHeight="1">
      <c r="A1317" s="178" t="str">
        <f t="shared" si="40"/>
        <v>00/01/yyyy591</v>
      </c>
      <c r="B1317" s="171">
        <f t="shared" si="41"/>
        <v>591</v>
      </c>
    </row>
    <row r="1318" spans="1:2" ht="30" customHeight="1">
      <c r="A1318" s="178" t="str">
        <f t="shared" si="40"/>
        <v>00/01/yyyy592</v>
      </c>
      <c r="B1318" s="171">
        <f t="shared" si="41"/>
        <v>592</v>
      </c>
    </row>
    <row r="1319" spans="1:2" ht="30" customHeight="1">
      <c r="A1319" s="178" t="str">
        <f t="shared" si="40"/>
        <v>00/01/yyyy593</v>
      </c>
      <c r="B1319" s="171">
        <f t="shared" si="41"/>
        <v>593</v>
      </c>
    </row>
    <row r="1320" spans="1:2" ht="30" customHeight="1">
      <c r="A1320" s="178" t="str">
        <f t="shared" si="40"/>
        <v>00/01/yyyy594</v>
      </c>
      <c r="B1320" s="171">
        <f t="shared" si="41"/>
        <v>594</v>
      </c>
    </row>
    <row r="1321" spans="1:2" ht="30" customHeight="1">
      <c r="A1321" s="178" t="str">
        <f t="shared" si="40"/>
        <v>00/01/yyyy595</v>
      </c>
      <c r="B1321" s="171">
        <f t="shared" si="41"/>
        <v>595</v>
      </c>
    </row>
    <row r="1322" spans="1:2" ht="30" customHeight="1">
      <c r="A1322" s="178" t="str">
        <f t="shared" si="40"/>
        <v>00/01/yyyy596</v>
      </c>
      <c r="B1322" s="171">
        <f t="shared" si="41"/>
        <v>596</v>
      </c>
    </row>
    <row r="1323" spans="1:2" ht="30" customHeight="1">
      <c r="A1323" s="178" t="str">
        <f t="shared" si="40"/>
        <v>00/01/yyyy597</v>
      </c>
      <c r="B1323" s="171">
        <f t="shared" si="41"/>
        <v>597</v>
      </c>
    </row>
    <row r="1324" spans="1:2" ht="30" customHeight="1">
      <c r="A1324" s="178" t="str">
        <f t="shared" si="40"/>
        <v>00/01/yyyy598</v>
      </c>
      <c r="B1324" s="171">
        <f t="shared" si="41"/>
        <v>598</v>
      </c>
    </row>
    <row r="1325" spans="1:2" ht="30" customHeight="1">
      <c r="A1325" s="178" t="str">
        <f t="shared" si="40"/>
        <v>00/01/yyyy599</v>
      </c>
      <c r="B1325" s="171">
        <f t="shared" si="41"/>
        <v>599</v>
      </c>
    </row>
    <row r="1326" spans="1:2" ht="30" customHeight="1">
      <c r="A1326" s="178" t="str">
        <f t="shared" si="40"/>
        <v>00/01/yyyy600</v>
      </c>
      <c r="B1326" s="171">
        <f t="shared" si="41"/>
        <v>600</v>
      </c>
    </row>
    <row r="1327" spans="1:2" ht="30" customHeight="1">
      <c r="A1327" s="178" t="str">
        <f t="shared" si="40"/>
        <v>00/01/yyyy601</v>
      </c>
      <c r="B1327" s="171">
        <f t="shared" si="41"/>
        <v>601</v>
      </c>
    </row>
    <row r="1328" spans="1:2" ht="30" customHeight="1">
      <c r="A1328" s="178" t="str">
        <f t="shared" si="40"/>
        <v>00/01/yyyy602</v>
      </c>
      <c r="B1328" s="171">
        <f t="shared" si="41"/>
        <v>602</v>
      </c>
    </row>
    <row r="1329" spans="1:2" ht="30" customHeight="1">
      <c r="A1329" s="178" t="str">
        <f t="shared" si="40"/>
        <v>00/01/yyyy603</v>
      </c>
      <c r="B1329" s="171">
        <f t="shared" si="41"/>
        <v>603</v>
      </c>
    </row>
    <row r="1330" spans="1:2" ht="30" customHeight="1">
      <c r="A1330" s="178" t="str">
        <f t="shared" si="40"/>
        <v>00/01/yyyy604</v>
      </c>
      <c r="B1330" s="171">
        <f t="shared" si="41"/>
        <v>604</v>
      </c>
    </row>
    <row r="1331" spans="1:2" ht="30" customHeight="1">
      <c r="A1331" s="178" t="str">
        <f t="shared" si="40"/>
        <v>00/01/yyyy605</v>
      </c>
      <c r="B1331" s="171">
        <f t="shared" si="41"/>
        <v>605</v>
      </c>
    </row>
    <row r="1332" spans="1:2" ht="30" customHeight="1">
      <c r="A1332" s="178" t="str">
        <f t="shared" si="40"/>
        <v>00/01/yyyy606</v>
      </c>
      <c r="B1332" s="171">
        <f t="shared" si="41"/>
        <v>606</v>
      </c>
    </row>
    <row r="1333" spans="1:2" ht="30" customHeight="1">
      <c r="A1333" s="178" t="str">
        <f t="shared" si="40"/>
        <v>00/01/yyyy607</v>
      </c>
      <c r="B1333" s="171">
        <f t="shared" si="41"/>
        <v>607</v>
      </c>
    </row>
    <row r="1334" spans="1:2" ht="30" customHeight="1">
      <c r="A1334" s="178" t="str">
        <f t="shared" si="40"/>
        <v>00/01/yyyy608</v>
      </c>
      <c r="B1334" s="171">
        <f t="shared" si="41"/>
        <v>608</v>
      </c>
    </row>
    <row r="1335" spans="1:2" ht="30" customHeight="1">
      <c r="A1335" s="178" t="str">
        <f t="shared" si="40"/>
        <v>00/01/yyyy609</v>
      </c>
      <c r="B1335" s="171">
        <f t="shared" si="41"/>
        <v>609</v>
      </c>
    </row>
    <row r="1336" spans="1:2" ht="30" customHeight="1">
      <c r="A1336" s="178" t="str">
        <f t="shared" si="40"/>
        <v>00/01/yyyy610</v>
      </c>
      <c r="B1336" s="171">
        <f t="shared" si="41"/>
        <v>610</v>
      </c>
    </row>
    <row r="1337" spans="1:2" ht="30" customHeight="1">
      <c r="A1337" s="178" t="str">
        <f t="shared" si="40"/>
        <v>00/01/yyyy611</v>
      </c>
      <c r="B1337" s="171">
        <f t="shared" si="41"/>
        <v>611</v>
      </c>
    </row>
    <row r="1338" spans="1:2" ht="30" customHeight="1">
      <c r="A1338" s="178" t="str">
        <f t="shared" si="40"/>
        <v>00/01/yyyy612</v>
      </c>
      <c r="B1338" s="171">
        <f t="shared" si="41"/>
        <v>612</v>
      </c>
    </row>
    <row r="1339" spans="1:2" ht="30" customHeight="1">
      <c r="A1339" s="178" t="str">
        <f t="shared" si="40"/>
        <v>00/01/yyyy613</v>
      </c>
      <c r="B1339" s="171">
        <f t="shared" si="41"/>
        <v>613</v>
      </c>
    </row>
    <row r="1340" spans="1:2" ht="30" customHeight="1">
      <c r="A1340" s="178" t="str">
        <f t="shared" si="40"/>
        <v>00/01/yyyy614</v>
      </c>
      <c r="B1340" s="171">
        <f t="shared" si="41"/>
        <v>614</v>
      </c>
    </row>
    <row r="1341" spans="1:2" ht="30" customHeight="1">
      <c r="A1341" s="178" t="str">
        <f t="shared" si="40"/>
        <v>00/01/yyyy615</v>
      </c>
      <c r="B1341" s="171">
        <f t="shared" si="41"/>
        <v>615</v>
      </c>
    </row>
    <row r="1342" spans="1:2" ht="30" customHeight="1">
      <c r="A1342" s="178" t="str">
        <f t="shared" si="40"/>
        <v>00/01/yyyy616</v>
      </c>
      <c r="B1342" s="171">
        <f t="shared" si="41"/>
        <v>616</v>
      </c>
    </row>
    <row r="1343" spans="1:2" ht="30" customHeight="1">
      <c r="A1343" s="178" t="str">
        <f t="shared" si="40"/>
        <v>00/01/yyyy617</v>
      </c>
      <c r="B1343" s="171">
        <f t="shared" si="41"/>
        <v>617</v>
      </c>
    </row>
    <row r="1344" spans="1:2" ht="30" customHeight="1">
      <c r="A1344" s="178" t="str">
        <f t="shared" si="40"/>
        <v>00/01/yyyy618</v>
      </c>
      <c r="B1344" s="171">
        <f t="shared" si="41"/>
        <v>618</v>
      </c>
    </row>
    <row r="1345" spans="1:2" ht="30" customHeight="1">
      <c r="A1345" s="178" t="str">
        <f t="shared" si="40"/>
        <v>00/01/yyyy619</v>
      </c>
      <c r="B1345" s="171">
        <f t="shared" si="41"/>
        <v>619</v>
      </c>
    </row>
    <row r="1346" spans="1:2" ht="30" customHeight="1">
      <c r="A1346" s="178" t="str">
        <f t="shared" si="40"/>
        <v>00/01/yyyy620</v>
      </c>
      <c r="B1346" s="171">
        <f t="shared" si="41"/>
        <v>620</v>
      </c>
    </row>
    <row r="1347" spans="1:2" ht="30" customHeight="1">
      <c r="A1347" s="178" t="str">
        <f t="shared" ref="A1347:A1410" si="42">CONCATENATE(TEXT($G1347,"dd/mm/yyyy"),$B1347)</f>
        <v>00/01/yyyy621</v>
      </c>
      <c r="B1347" s="171">
        <f t="shared" si="41"/>
        <v>621</v>
      </c>
    </row>
    <row r="1348" spans="1:2" ht="30" customHeight="1">
      <c r="A1348" s="178" t="str">
        <f t="shared" si="42"/>
        <v>00/01/yyyy622</v>
      </c>
      <c r="B1348" s="171">
        <f t="shared" ref="B1348:B1411" si="43">IF($G1348=$G1347,$B1347+1,1)</f>
        <v>622</v>
      </c>
    </row>
    <row r="1349" spans="1:2" ht="30" customHeight="1">
      <c r="A1349" s="178" t="str">
        <f t="shared" si="42"/>
        <v>00/01/yyyy623</v>
      </c>
      <c r="B1349" s="171">
        <f t="shared" si="43"/>
        <v>623</v>
      </c>
    </row>
    <row r="1350" spans="1:2" ht="30" customHeight="1">
      <c r="A1350" s="178" t="str">
        <f t="shared" si="42"/>
        <v>00/01/yyyy624</v>
      </c>
      <c r="B1350" s="171">
        <f t="shared" si="43"/>
        <v>624</v>
      </c>
    </row>
    <row r="1351" spans="1:2" ht="30" customHeight="1">
      <c r="A1351" s="178" t="str">
        <f t="shared" si="42"/>
        <v>00/01/yyyy625</v>
      </c>
      <c r="B1351" s="171">
        <f t="shared" si="43"/>
        <v>625</v>
      </c>
    </row>
    <row r="1352" spans="1:2" ht="30" customHeight="1">
      <c r="A1352" s="178" t="str">
        <f t="shared" si="42"/>
        <v>00/01/yyyy626</v>
      </c>
      <c r="B1352" s="171">
        <f t="shared" si="43"/>
        <v>626</v>
      </c>
    </row>
    <row r="1353" spans="1:2" ht="30" customHeight="1">
      <c r="A1353" s="178" t="str">
        <f t="shared" si="42"/>
        <v>00/01/yyyy627</v>
      </c>
      <c r="B1353" s="171">
        <f t="shared" si="43"/>
        <v>627</v>
      </c>
    </row>
    <row r="1354" spans="1:2" ht="30" customHeight="1">
      <c r="A1354" s="178" t="str">
        <f t="shared" si="42"/>
        <v>00/01/yyyy628</v>
      </c>
      <c r="B1354" s="171">
        <f t="shared" si="43"/>
        <v>628</v>
      </c>
    </row>
    <row r="1355" spans="1:2" ht="30" customHeight="1">
      <c r="A1355" s="178" t="str">
        <f t="shared" si="42"/>
        <v>00/01/yyyy629</v>
      </c>
      <c r="B1355" s="171">
        <f t="shared" si="43"/>
        <v>629</v>
      </c>
    </row>
    <row r="1356" spans="1:2" ht="30" customHeight="1">
      <c r="A1356" s="178" t="str">
        <f t="shared" si="42"/>
        <v>00/01/yyyy630</v>
      </c>
      <c r="B1356" s="171">
        <f t="shared" si="43"/>
        <v>630</v>
      </c>
    </row>
    <row r="1357" spans="1:2" ht="30" customHeight="1">
      <c r="A1357" s="178" t="str">
        <f t="shared" si="42"/>
        <v>00/01/yyyy631</v>
      </c>
      <c r="B1357" s="171">
        <f t="shared" si="43"/>
        <v>631</v>
      </c>
    </row>
    <row r="1358" spans="1:2" ht="30" customHeight="1">
      <c r="A1358" s="178" t="str">
        <f t="shared" si="42"/>
        <v>00/01/yyyy632</v>
      </c>
      <c r="B1358" s="171">
        <f t="shared" si="43"/>
        <v>632</v>
      </c>
    </row>
    <row r="1359" spans="1:2" ht="30" customHeight="1">
      <c r="A1359" s="178" t="str">
        <f t="shared" si="42"/>
        <v>00/01/yyyy633</v>
      </c>
      <c r="B1359" s="171">
        <f t="shared" si="43"/>
        <v>633</v>
      </c>
    </row>
    <row r="1360" spans="1:2" ht="30" customHeight="1">
      <c r="A1360" s="178" t="str">
        <f t="shared" si="42"/>
        <v>00/01/yyyy634</v>
      </c>
      <c r="B1360" s="171">
        <f t="shared" si="43"/>
        <v>634</v>
      </c>
    </row>
    <row r="1361" spans="1:2" ht="30" customHeight="1">
      <c r="A1361" s="178" t="str">
        <f t="shared" si="42"/>
        <v>00/01/yyyy635</v>
      </c>
      <c r="B1361" s="171">
        <f t="shared" si="43"/>
        <v>635</v>
      </c>
    </row>
    <row r="1362" spans="1:2" ht="30" customHeight="1">
      <c r="A1362" s="178" t="str">
        <f t="shared" si="42"/>
        <v>00/01/yyyy636</v>
      </c>
      <c r="B1362" s="171">
        <f t="shared" si="43"/>
        <v>636</v>
      </c>
    </row>
    <row r="1363" spans="1:2" ht="30" customHeight="1">
      <c r="A1363" s="178" t="str">
        <f t="shared" si="42"/>
        <v>00/01/yyyy637</v>
      </c>
      <c r="B1363" s="171">
        <f t="shared" si="43"/>
        <v>637</v>
      </c>
    </row>
    <row r="1364" spans="1:2" ht="30" customHeight="1">
      <c r="A1364" s="178" t="str">
        <f t="shared" si="42"/>
        <v>00/01/yyyy638</v>
      </c>
      <c r="B1364" s="171">
        <f t="shared" si="43"/>
        <v>638</v>
      </c>
    </row>
    <row r="1365" spans="1:2" ht="30" customHeight="1">
      <c r="A1365" s="178" t="str">
        <f t="shared" si="42"/>
        <v>00/01/yyyy639</v>
      </c>
      <c r="B1365" s="171">
        <f t="shared" si="43"/>
        <v>639</v>
      </c>
    </row>
    <row r="1366" spans="1:2" ht="30" customHeight="1">
      <c r="A1366" s="178" t="str">
        <f t="shared" si="42"/>
        <v>00/01/yyyy640</v>
      </c>
      <c r="B1366" s="171">
        <f t="shared" si="43"/>
        <v>640</v>
      </c>
    </row>
    <row r="1367" spans="1:2" ht="30" customHeight="1">
      <c r="A1367" s="178" t="str">
        <f t="shared" si="42"/>
        <v>00/01/yyyy641</v>
      </c>
      <c r="B1367" s="171">
        <f t="shared" si="43"/>
        <v>641</v>
      </c>
    </row>
    <row r="1368" spans="1:2" ht="30" customHeight="1">
      <c r="A1368" s="178" t="str">
        <f t="shared" si="42"/>
        <v>00/01/yyyy642</v>
      </c>
      <c r="B1368" s="171">
        <f t="shared" si="43"/>
        <v>642</v>
      </c>
    </row>
    <row r="1369" spans="1:2" ht="30" customHeight="1">
      <c r="A1369" s="178" t="str">
        <f t="shared" si="42"/>
        <v>00/01/yyyy643</v>
      </c>
      <c r="B1369" s="171">
        <f t="shared" si="43"/>
        <v>643</v>
      </c>
    </row>
    <row r="1370" spans="1:2" ht="30" customHeight="1">
      <c r="A1370" s="178" t="str">
        <f t="shared" si="42"/>
        <v>00/01/yyyy644</v>
      </c>
      <c r="B1370" s="171">
        <f t="shared" si="43"/>
        <v>644</v>
      </c>
    </row>
    <row r="1371" spans="1:2" ht="30" customHeight="1">
      <c r="A1371" s="178" t="str">
        <f t="shared" si="42"/>
        <v>00/01/yyyy645</v>
      </c>
      <c r="B1371" s="171">
        <f t="shared" si="43"/>
        <v>645</v>
      </c>
    </row>
    <row r="1372" spans="1:2" ht="30" customHeight="1">
      <c r="A1372" s="178" t="str">
        <f t="shared" si="42"/>
        <v>00/01/yyyy646</v>
      </c>
      <c r="B1372" s="171">
        <f t="shared" si="43"/>
        <v>646</v>
      </c>
    </row>
    <row r="1373" spans="1:2" ht="30" customHeight="1">
      <c r="A1373" s="178" t="str">
        <f t="shared" si="42"/>
        <v>00/01/yyyy647</v>
      </c>
      <c r="B1373" s="171">
        <f t="shared" si="43"/>
        <v>647</v>
      </c>
    </row>
    <row r="1374" spans="1:2" ht="30" customHeight="1">
      <c r="A1374" s="178" t="str">
        <f t="shared" si="42"/>
        <v>00/01/yyyy648</v>
      </c>
      <c r="B1374" s="171">
        <f t="shared" si="43"/>
        <v>648</v>
      </c>
    </row>
    <row r="1375" spans="1:2" ht="30" customHeight="1">
      <c r="A1375" s="178" t="str">
        <f t="shared" si="42"/>
        <v>00/01/yyyy649</v>
      </c>
      <c r="B1375" s="171">
        <f t="shared" si="43"/>
        <v>649</v>
      </c>
    </row>
    <row r="1376" spans="1:2" ht="30" customHeight="1">
      <c r="A1376" s="178" t="str">
        <f t="shared" si="42"/>
        <v>00/01/yyyy650</v>
      </c>
      <c r="B1376" s="171">
        <f t="shared" si="43"/>
        <v>650</v>
      </c>
    </row>
    <row r="1377" spans="1:2" ht="30" customHeight="1">
      <c r="A1377" s="178" t="str">
        <f t="shared" si="42"/>
        <v>00/01/yyyy651</v>
      </c>
      <c r="B1377" s="171">
        <f t="shared" si="43"/>
        <v>651</v>
      </c>
    </row>
    <row r="1378" spans="1:2" ht="30" customHeight="1">
      <c r="A1378" s="178" t="str">
        <f t="shared" si="42"/>
        <v>00/01/yyyy652</v>
      </c>
      <c r="B1378" s="171">
        <f t="shared" si="43"/>
        <v>652</v>
      </c>
    </row>
    <row r="1379" spans="1:2" ht="30" customHeight="1">
      <c r="A1379" s="178" t="str">
        <f t="shared" si="42"/>
        <v>00/01/yyyy653</v>
      </c>
      <c r="B1379" s="171">
        <f t="shared" si="43"/>
        <v>653</v>
      </c>
    </row>
    <row r="1380" spans="1:2" ht="30" customHeight="1">
      <c r="A1380" s="178" t="str">
        <f t="shared" si="42"/>
        <v>00/01/yyyy654</v>
      </c>
      <c r="B1380" s="171">
        <f t="shared" si="43"/>
        <v>654</v>
      </c>
    </row>
    <row r="1381" spans="1:2" ht="30" customHeight="1">
      <c r="A1381" s="178" t="str">
        <f t="shared" si="42"/>
        <v>00/01/yyyy655</v>
      </c>
      <c r="B1381" s="171">
        <f t="shared" si="43"/>
        <v>655</v>
      </c>
    </row>
    <row r="1382" spans="1:2" ht="30" customHeight="1">
      <c r="A1382" s="178" t="str">
        <f t="shared" si="42"/>
        <v>00/01/yyyy656</v>
      </c>
      <c r="B1382" s="171">
        <f t="shared" si="43"/>
        <v>656</v>
      </c>
    </row>
    <row r="1383" spans="1:2" ht="30" customHeight="1">
      <c r="A1383" s="178" t="str">
        <f t="shared" si="42"/>
        <v>00/01/yyyy657</v>
      </c>
      <c r="B1383" s="171">
        <f t="shared" si="43"/>
        <v>657</v>
      </c>
    </row>
    <row r="1384" spans="1:2" ht="30" customHeight="1">
      <c r="A1384" s="178" t="str">
        <f t="shared" si="42"/>
        <v>00/01/yyyy658</v>
      </c>
      <c r="B1384" s="171">
        <f t="shared" si="43"/>
        <v>658</v>
      </c>
    </row>
    <row r="1385" spans="1:2" ht="30" customHeight="1">
      <c r="A1385" s="178" t="str">
        <f t="shared" si="42"/>
        <v>00/01/yyyy659</v>
      </c>
      <c r="B1385" s="171">
        <f t="shared" si="43"/>
        <v>659</v>
      </c>
    </row>
    <row r="1386" spans="1:2" ht="30" customHeight="1">
      <c r="A1386" s="178" t="str">
        <f t="shared" si="42"/>
        <v>00/01/yyyy660</v>
      </c>
      <c r="B1386" s="171">
        <f t="shared" si="43"/>
        <v>660</v>
      </c>
    </row>
    <row r="1387" spans="1:2" ht="30" customHeight="1">
      <c r="A1387" s="178" t="str">
        <f t="shared" si="42"/>
        <v>00/01/yyyy661</v>
      </c>
      <c r="B1387" s="171">
        <f t="shared" si="43"/>
        <v>661</v>
      </c>
    </row>
    <row r="1388" spans="1:2" ht="30" customHeight="1">
      <c r="A1388" s="178" t="str">
        <f t="shared" si="42"/>
        <v>00/01/yyyy662</v>
      </c>
      <c r="B1388" s="171">
        <f t="shared" si="43"/>
        <v>662</v>
      </c>
    </row>
    <row r="1389" spans="1:2" ht="30" customHeight="1">
      <c r="A1389" s="178" t="str">
        <f t="shared" si="42"/>
        <v>00/01/yyyy663</v>
      </c>
      <c r="B1389" s="171">
        <f t="shared" si="43"/>
        <v>663</v>
      </c>
    </row>
    <row r="1390" spans="1:2" ht="30" customHeight="1">
      <c r="A1390" s="178" t="str">
        <f t="shared" si="42"/>
        <v>00/01/yyyy664</v>
      </c>
      <c r="B1390" s="171">
        <f t="shared" si="43"/>
        <v>664</v>
      </c>
    </row>
    <row r="1391" spans="1:2" ht="30" customHeight="1">
      <c r="A1391" s="178" t="str">
        <f t="shared" si="42"/>
        <v>00/01/yyyy665</v>
      </c>
      <c r="B1391" s="171">
        <f t="shared" si="43"/>
        <v>665</v>
      </c>
    </row>
    <row r="1392" spans="1:2" ht="30" customHeight="1">
      <c r="A1392" s="178" t="str">
        <f t="shared" si="42"/>
        <v>00/01/yyyy666</v>
      </c>
      <c r="B1392" s="171">
        <f t="shared" si="43"/>
        <v>666</v>
      </c>
    </row>
    <row r="1393" spans="1:2" ht="30" customHeight="1">
      <c r="A1393" s="178" t="str">
        <f t="shared" si="42"/>
        <v>00/01/yyyy667</v>
      </c>
      <c r="B1393" s="171">
        <f t="shared" si="43"/>
        <v>667</v>
      </c>
    </row>
    <row r="1394" spans="1:2" ht="30" customHeight="1">
      <c r="A1394" s="178" t="str">
        <f t="shared" si="42"/>
        <v>00/01/yyyy668</v>
      </c>
      <c r="B1394" s="171">
        <f t="shared" si="43"/>
        <v>668</v>
      </c>
    </row>
    <row r="1395" spans="1:2" ht="30" customHeight="1">
      <c r="A1395" s="178" t="str">
        <f t="shared" si="42"/>
        <v>00/01/yyyy669</v>
      </c>
      <c r="B1395" s="171">
        <f t="shared" si="43"/>
        <v>669</v>
      </c>
    </row>
    <row r="1396" spans="1:2" ht="30" customHeight="1">
      <c r="A1396" s="178" t="str">
        <f t="shared" si="42"/>
        <v>00/01/yyyy670</v>
      </c>
      <c r="B1396" s="171">
        <f t="shared" si="43"/>
        <v>670</v>
      </c>
    </row>
    <row r="1397" spans="1:2" ht="30" customHeight="1">
      <c r="A1397" s="178" t="str">
        <f t="shared" si="42"/>
        <v>00/01/yyyy671</v>
      </c>
      <c r="B1397" s="171">
        <f t="shared" si="43"/>
        <v>671</v>
      </c>
    </row>
    <row r="1398" spans="1:2" ht="30" customHeight="1">
      <c r="A1398" s="178" t="str">
        <f t="shared" si="42"/>
        <v>00/01/yyyy672</v>
      </c>
      <c r="B1398" s="171">
        <f t="shared" si="43"/>
        <v>672</v>
      </c>
    </row>
    <row r="1399" spans="1:2" ht="30" customHeight="1">
      <c r="A1399" s="178" t="str">
        <f t="shared" si="42"/>
        <v>00/01/yyyy673</v>
      </c>
      <c r="B1399" s="171">
        <f t="shared" si="43"/>
        <v>673</v>
      </c>
    </row>
    <row r="1400" spans="1:2" ht="30" customHeight="1">
      <c r="A1400" s="178" t="str">
        <f t="shared" si="42"/>
        <v>00/01/yyyy674</v>
      </c>
      <c r="B1400" s="171">
        <f t="shared" si="43"/>
        <v>674</v>
      </c>
    </row>
    <row r="1401" spans="1:2" ht="30" customHeight="1">
      <c r="A1401" s="178" t="str">
        <f t="shared" si="42"/>
        <v>00/01/yyyy675</v>
      </c>
      <c r="B1401" s="171">
        <f t="shared" si="43"/>
        <v>675</v>
      </c>
    </row>
    <row r="1402" spans="1:2" ht="30" customHeight="1">
      <c r="A1402" s="178" t="str">
        <f t="shared" si="42"/>
        <v>00/01/yyyy676</v>
      </c>
      <c r="B1402" s="171">
        <f t="shared" si="43"/>
        <v>676</v>
      </c>
    </row>
    <row r="1403" spans="1:2" ht="30" customHeight="1">
      <c r="A1403" s="178" t="str">
        <f t="shared" si="42"/>
        <v>00/01/yyyy677</v>
      </c>
      <c r="B1403" s="171">
        <f t="shared" si="43"/>
        <v>677</v>
      </c>
    </row>
    <row r="1404" spans="1:2" ht="30" customHeight="1">
      <c r="A1404" s="178" t="str">
        <f t="shared" si="42"/>
        <v>00/01/yyyy678</v>
      </c>
      <c r="B1404" s="171">
        <f t="shared" si="43"/>
        <v>678</v>
      </c>
    </row>
    <row r="1405" spans="1:2" ht="30" customHeight="1">
      <c r="A1405" s="178" t="str">
        <f t="shared" si="42"/>
        <v>00/01/yyyy679</v>
      </c>
      <c r="B1405" s="171">
        <f t="shared" si="43"/>
        <v>679</v>
      </c>
    </row>
    <row r="1406" spans="1:2" ht="30" customHeight="1">
      <c r="A1406" s="178" t="str">
        <f t="shared" si="42"/>
        <v>00/01/yyyy680</v>
      </c>
      <c r="B1406" s="171">
        <f t="shared" si="43"/>
        <v>680</v>
      </c>
    </row>
    <row r="1407" spans="1:2" ht="30" customHeight="1">
      <c r="A1407" s="178" t="str">
        <f t="shared" si="42"/>
        <v>00/01/yyyy681</v>
      </c>
      <c r="B1407" s="171">
        <f t="shared" si="43"/>
        <v>681</v>
      </c>
    </row>
    <row r="1408" spans="1:2" ht="30" customHeight="1">
      <c r="A1408" s="178" t="str">
        <f t="shared" si="42"/>
        <v>00/01/yyyy682</v>
      </c>
      <c r="B1408" s="171">
        <f t="shared" si="43"/>
        <v>682</v>
      </c>
    </row>
    <row r="1409" spans="1:2" ht="30" customHeight="1">
      <c r="A1409" s="178" t="str">
        <f t="shared" si="42"/>
        <v>00/01/yyyy683</v>
      </c>
      <c r="B1409" s="171">
        <f t="shared" si="43"/>
        <v>683</v>
      </c>
    </row>
    <row r="1410" spans="1:2" ht="30" customHeight="1">
      <c r="A1410" s="178" t="str">
        <f t="shared" si="42"/>
        <v>00/01/yyyy684</v>
      </c>
      <c r="B1410" s="171">
        <f t="shared" si="43"/>
        <v>684</v>
      </c>
    </row>
    <row r="1411" spans="1:2" ht="30" customHeight="1">
      <c r="A1411" s="178" t="str">
        <f t="shared" ref="A1411:A1474" si="44">CONCATENATE(TEXT($G1411,"dd/mm/yyyy"),$B1411)</f>
        <v>00/01/yyyy685</v>
      </c>
      <c r="B1411" s="171">
        <f t="shared" si="43"/>
        <v>685</v>
      </c>
    </row>
    <row r="1412" spans="1:2" ht="30" customHeight="1">
      <c r="A1412" s="178" t="str">
        <f t="shared" si="44"/>
        <v>00/01/yyyy686</v>
      </c>
      <c r="B1412" s="171">
        <f t="shared" ref="B1412:B1475" si="45">IF($G1412=$G1411,$B1411+1,1)</f>
        <v>686</v>
      </c>
    </row>
    <row r="1413" spans="1:2" ht="30" customHeight="1">
      <c r="A1413" s="178" t="str">
        <f t="shared" si="44"/>
        <v>00/01/yyyy687</v>
      </c>
      <c r="B1413" s="171">
        <f t="shared" si="45"/>
        <v>687</v>
      </c>
    </row>
    <row r="1414" spans="1:2" ht="30" customHeight="1">
      <c r="A1414" s="178" t="str">
        <f t="shared" si="44"/>
        <v>00/01/yyyy688</v>
      </c>
      <c r="B1414" s="171">
        <f t="shared" si="45"/>
        <v>688</v>
      </c>
    </row>
    <row r="1415" spans="1:2" ht="30" customHeight="1">
      <c r="A1415" s="178" t="str">
        <f t="shared" si="44"/>
        <v>00/01/yyyy689</v>
      </c>
      <c r="B1415" s="171">
        <f t="shared" si="45"/>
        <v>689</v>
      </c>
    </row>
    <row r="1416" spans="1:2" ht="30" customHeight="1">
      <c r="A1416" s="178" t="str">
        <f t="shared" si="44"/>
        <v>00/01/yyyy690</v>
      </c>
      <c r="B1416" s="171">
        <f t="shared" si="45"/>
        <v>690</v>
      </c>
    </row>
    <row r="1417" spans="1:2" ht="30" customHeight="1">
      <c r="A1417" s="178" t="str">
        <f t="shared" si="44"/>
        <v>00/01/yyyy691</v>
      </c>
      <c r="B1417" s="171">
        <f t="shared" si="45"/>
        <v>691</v>
      </c>
    </row>
    <row r="1418" spans="1:2" ht="30" customHeight="1">
      <c r="A1418" s="178" t="str">
        <f t="shared" si="44"/>
        <v>00/01/yyyy692</v>
      </c>
      <c r="B1418" s="171">
        <f t="shared" si="45"/>
        <v>692</v>
      </c>
    </row>
    <row r="1419" spans="1:2" ht="30" customHeight="1">
      <c r="A1419" s="178" t="str">
        <f t="shared" si="44"/>
        <v>00/01/yyyy693</v>
      </c>
      <c r="B1419" s="171">
        <f t="shared" si="45"/>
        <v>693</v>
      </c>
    </row>
    <row r="1420" spans="1:2" ht="30" customHeight="1">
      <c r="A1420" s="178" t="str">
        <f t="shared" si="44"/>
        <v>00/01/yyyy694</v>
      </c>
      <c r="B1420" s="171">
        <f t="shared" si="45"/>
        <v>694</v>
      </c>
    </row>
    <row r="1421" spans="1:2" ht="30" customHeight="1">
      <c r="A1421" s="178" t="str">
        <f t="shared" si="44"/>
        <v>00/01/yyyy695</v>
      </c>
      <c r="B1421" s="171">
        <f t="shared" si="45"/>
        <v>695</v>
      </c>
    </row>
    <row r="1422" spans="1:2" ht="30" customHeight="1">
      <c r="A1422" s="178" t="str">
        <f t="shared" si="44"/>
        <v>00/01/yyyy696</v>
      </c>
      <c r="B1422" s="171">
        <f t="shared" si="45"/>
        <v>696</v>
      </c>
    </row>
    <row r="1423" spans="1:2" ht="30" customHeight="1">
      <c r="A1423" s="178" t="str">
        <f t="shared" si="44"/>
        <v>00/01/yyyy697</v>
      </c>
      <c r="B1423" s="171">
        <f t="shared" si="45"/>
        <v>697</v>
      </c>
    </row>
    <row r="1424" spans="1:2" ht="30" customHeight="1">
      <c r="A1424" s="178" t="str">
        <f t="shared" si="44"/>
        <v>00/01/yyyy698</v>
      </c>
      <c r="B1424" s="171">
        <f t="shared" si="45"/>
        <v>698</v>
      </c>
    </row>
    <row r="1425" spans="1:2" ht="30" customHeight="1">
      <c r="A1425" s="178" t="str">
        <f t="shared" si="44"/>
        <v>00/01/yyyy699</v>
      </c>
      <c r="B1425" s="171">
        <f t="shared" si="45"/>
        <v>699</v>
      </c>
    </row>
    <row r="1426" spans="1:2" ht="30" customHeight="1">
      <c r="A1426" s="178" t="str">
        <f t="shared" si="44"/>
        <v>00/01/yyyy700</v>
      </c>
      <c r="B1426" s="171">
        <f t="shared" si="45"/>
        <v>700</v>
      </c>
    </row>
    <row r="1427" spans="1:2" ht="30" customHeight="1">
      <c r="A1427" s="178" t="str">
        <f t="shared" si="44"/>
        <v>00/01/yyyy701</v>
      </c>
      <c r="B1427" s="171">
        <f t="shared" si="45"/>
        <v>701</v>
      </c>
    </row>
    <row r="1428" spans="1:2" ht="30" customHeight="1">
      <c r="A1428" s="178" t="str">
        <f t="shared" si="44"/>
        <v>00/01/yyyy702</v>
      </c>
      <c r="B1428" s="171">
        <f t="shared" si="45"/>
        <v>702</v>
      </c>
    </row>
    <row r="1429" spans="1:2" ht="30" customHeight="1">
      <c r="A1429" s="178" t="str">
        <f t="shared" si="44"/>
        <v>00/01/yyyy703</v>
      </c>
      <c r="B1429" s="171">
        <f t="shared" si="45"/>
        <v>703</v>
      </c>
    </row>
    <row r="1430" spans="1:2" ht="30" customHeight="1">
      <c r="A1430" s="178" t="str">
        <f t="shared" si="44"/>
        <v>00/01/yyyy704</v>
      </c>
      <c r="B1430" s="171">
        <f t="shared" si="45"/>
        <v>704</v>
      </c>
    </row>
    <row r="1431" spans="1:2" ht="30" customHeight="1">
      <c r="A1431" s="178" t="str">
        <f t="shared" si="44"/>
        <v>00/01/yyyy705</v>
      </c>
      <c r="B1431" s="171">
        <f t="shared" si="45"/>
        <v>705</v>
      </c>
    </row>
    <row r="1432" spans="1:2" ht="30" customHeight="1">
      <c r="A1432" s="178" t="str">
        <f t="shared" si="44"/>
        <v>00/01/yyyy706</v>
      </c>
      <c r="B1432" s="171">
        <f t="shared" si="45"/>
        <v>706</v>
      </c>
    </row>
    <row r="1433" spans="1:2" ht="30" customHeight="1">
      <c r="A1433" s="178" t="str">
        <f t="shared" si="44"/>
        <v>00/01/yyyy707</v>
      </c>
      <c r="B1433" s="171">
        <f t="shared" si="45"/>
        <v>707</v>
      </c>
    </row>
    <row r="1434" spans="1:2" ht="30" customHeight="1">
      <c r="A1434" s="178" t="str">
        <f t="shared" si="44"/>
        <v>00/01/yyyy708</v>
      </c>
      <c r="B1434" s="171">
        <f t="shared" si="45"/>
        <v>708</v>
      </c>
    </row>
    <row r="1435" spans="1:2" ht="30" customHeight="1">
      <c r="A1435" s="178" t="str">
        <f t="shared" si="44"/>
        <v>00/01/yyyy709</v>
      </c>
      <c r="B1435" s="171">
        <f t="shared" si="45"/>
        <v>709</v>
      </c>
    </row>
    <row r="1436" spans="1:2" ht="30" customHeight="1">
      <c r="A1436" s="178" t="str">
        <f t="shared" si="44"/>
        <v>00/01/yyyy710</v>
      </c>
      <c r="B1436" s="171">
        <f t="shared" si="45"/>
        <v>710</v>
      </c>
    </row>
    <row r="1437" spans="1:2" ht="30" customHeight="1">
      <c r="A1437" s="178" t="str">
        <f t="shared" si="44"/>
        <v>00/01/yyyy711</v>
      </c>
      <c r="B1437" s="171">
        <f t="shared" si="45"/>
        <v>711</v>
      </c>
    </row>
    <row r="1438" spans="1:2" ht="30" customHeight="1">
      <c r="A1438" s="178" t="str">
        <f t="shared" si="44"/>
        <v>00/01/yyyy712</v>
      </c>
      <c r="B1438" s="171">
        <f t="shared" si="45"/>
        <v>712</v>
      </c>
    </row>
    <row r="1439" spans="1:2" ht="30" customHeight="1">
      <c r="A1439" s="178" t="str">
        <f t="shared" si="44"/>
        <v>00/01/yyyy713</v>
      </c>
      <c r="B1439" s="171">
        <f t="shared" si="45"/>
        <v>713</v>
      </c>
    </row>
    <row r="1440" spans="1:2" ht="30" customHeight="1">
      <c r="A1440" s="178" t="str">
        <f t="shared" si="44"/>
        <v>00/01/yyyy714</v>
      </c>
      <c r="B1440" s="171">
        <f t="shared" si="45"/>
        <v>714</v>
      </c>
    </row>
    <row r="1441" spans="1:2" ht="30" customHeight="1">
      <c r="A1441" s="178" t="str">
        <f t="shared" si="44"/>
        <v>00/01/yyyy715</v>
      </c>
      <c r="B1441" s="171">
        <f t="shared" si="45"/>
        <v>715</v>
      </c>
    </row>
    <row r="1442" spans="1:2" ht="30" customHeight="1">
      <c r="A1442" s="178" t="str">
        <f t="shared" si="44"/>
        <v>00/01/yyyy716</v>
      </c>
      <c r="B1442" s="171">
        <f t="shared" si="45"/>
        <v>716</v>
      </c>
    </row>
    <row r="1443" spans="1:2" ht="30" customHeight="1">
      <c r="A1443" s="178" t="str">
        <f t="shared" si="44"/>
        <v>00/01/yyyy717</v>
      </c>
      <c r="B1443" s="171">
        <f t="shared" si="45"/>
        <v>717</v>
      </c>
    </row>
    <row r="1444" spans="1:2" ht="30" customHeight="1">
      <c r="A1444" s="178" t="str">
        <f t="shared" si="44"/>
        <v>00/01/yyyy718</v>
      </c>
      <c r="B1444" s="171">
        <f t="shared" si="45"/>
        <v>718</v>
      </c>
    </row>
    <row r="1445" spans="1:2" ht="30" customHeight="1">
      <c r="A1445" s="178" t="str">
        <f t="shared" si="44"/>
        <v>00/01/yyyy719</v>
      </c>
      <c r="B1445" s="171">
        <f t="shared" si="45"/>
        <v>719</v>
      </c>
    </row>
    <row r="1446" spans="1:2" ht="30" customHeight="1">
      <c r="A1446" s="178" t="str">
        <f t="shared" si="44"/>
        <v>00/01/yyyy720</v>
      </c>
      <c r="B1446" s="171">
        <f t="shared" si="45"/>
        <v>720</v>
      </c>
    </row>
    <row r="1447" spans="1:2" ht="30" customHeight="1">
      <c r="A1447" s="178" t="str">
        <f t="shared" si="44"/>
        <v>00/01/yyyy721</v>
      </c>
      <c r="B1447" s="171">
        <f t="shared" si="45"/>
        <v>721</v>
      </c>
    </row>
    <row r="1448" spans="1:2" ht="30" customHeight="1">
      <c r="A1448" s="178" t="str">
        <f t="shared" si="44"/>
        <v>00/01/yyyy722</v>
      </c>
      <c r="B1448" s="171">
        <f t="shared" si="45"/>
        <v>722</v>
      </c>
    </row>
    <row r="1449" spans="1:2" ht="30" customHeight="1">
      <c r="A1449" s="178" t="str">
        <f t="shared" si="44"/>
        <v>00/01/yyyy723</v>
      </c>
      <c r="B1449" s="171">
        <f t="shared" si="45"/>
        <v>723</v>
      </c>
    </row>
    <row r="1450" spans="1:2" ht="30" customHeight="1">
      <c r="A1450" s="178" t="str">
        <f t="shared" si="44"/>
        <v>00/01/yyyy724</v>
      </c>
      <c r="B1450" s="171">
        <f t="shared" si="45"/>
        <v>724</v>
      </c>
    </row>
    <row r="1451" spans="1:2" ht="30" customHeight="1">
      <c r="A1451" s="178" t="str">
        <f t="shared" si="44"/>
        <v>00/01/yyyy725</v>
      </c>
      <c r="B1451" s="171">
        <f t="shared" si="45"/>
        <v>725</v>
      </c>
    </row>
    <row r="1452" spans="1:2" ht="30" customHeight="1">
      <c r="A1452" s="178" t="str">
        <f t="shared" si="44"/>
        <v>00/01/yyyy726</v>
      </c>
      <c r="B1452" s="171">
        <f t="shared" si="45"/>
        <v>726</v>
      </c>
    </row>
    <row r="1453" spans="1:2" ht="30" customHeight="1">
      <c r="A1453" s="178" t="str">
        <f t="shared" si="44"/>
        <v>00/01/yyyy727</v>
      </c>
      <c r="B1453" s="171">
        <f t="shared" si="45"/>
        <v>727</v>
      </c>
    </row>
    <row r="1454" spans="1:2" ht="30" customHeight="1">
      <c r="A1454" s="178" t="str">
        <f t="shared" si="44"/>
        <v>00/01/yyyy728</v>
      </c>
      <c r="B1454" s="171">
        <f t="shared" si="45"/>
        <v>728</v>
      </c>
    </row>
    <row r="1455" spans="1:2" ht="30" customHeight="1">
      <c r="A1455" s="178" t="str">
        <f t="shared" si="44"/>
        <v>00/01/yyyy729</v>
      </c>
      <c r="B1455" s="171">
        <f t="shared" si="45"/>
        <v>729</v>
      </c>
    </row>
    <row r="1456" spans="1:2" ht="30" customHeight="1">
      <c r="A1456" s="178" t="str">
        <f t="shared" si="44"/>
        <v>00/01/yyyy730</v>
      </c>
      <c r="B1456" s="171">
        <f t="shared" si="45"/>
        <v>730</v>
      </c>
    </row>
    <row r="1457" spans="1:2" ht="30" customHeight="1">
      <c r="A1457" s="178" t="str">
        <f t="shared" si="44"/>
        <v>00/01/yyyy731</v>
      </c>
      <c r="B1457" s="171">
        <f t="shared" si="45"/>
        <v>731</v>
      </c>
    </row>
    <row r="1458" spans="1:2" ht="30" customHeight="1">
      <c r="A1458" s="178" t="str">
        <f t="shared" si="44"/>
        <v>00/01/yyyy732</v>
      </c>
      <c r="B1458" s="171">
        <f t="shared" si="45"/>
        <v>732</v>
      </c>
    </row>
    <row r="1459" spans="1:2" ht="30" customHeight="1">
      <c r="A1459" s="178" t="str">
        <f t="shared" si="44"/>
        <v>00/01/yyyy733</v>
      </c>
      <c r="B1459" s="171">
        <f t="shared" si="45"/>
        <v>733</v>
      </c>
    </row>
    <row r="1460" spans="1:2" ht="30" customHeight="1">
      <c r="A1460" s="178" t="str">
        <f t="shared" si="44"/>
        <v>00/01/yyyy734</v>
      </c>
      <c r="B1460" s="171">
        <f t="shared" si="45"/>
        <v>734</v>
      </c>
    </row>
    <row r="1461" spans="1:2" ht="30" customHeight="1">
      <c r="A1461" s="178" t="str">
        <f t="shared" si="44"/>
        <v>00/01/yyyy735</v>
      </c>
      <c r="B1461" s="171">
        <f t="shared" si="45"/>
        <v>735</v>
      </c>
    </row>
    <row r="1462" spans="1:2" ht="30" customHeight="1">
      <c r="A1462" s="178" t="str">
        <f t="shared" si="44"/>
        <v>00/01/yyyy736</v>
      </c>
      <c r="B1462" s="171">
        <f t="shared" si="45"/>
        <v>736</v>
      </c>
    </row>
    <row r="1463" spans="1:2" ht="30" customHeight="1">
      <c r="A1463" s="178" t="str">
        <f t="shared" si="44"/>
        <v>00/01/yyyy737</v>
      </c>
      <c r="B1463" s="171">
        <f t="shared" si="45"/>
        <v>737</v>
      </c>
    </row>
    <row r="1464" spans="1:2" ht="30" customHeight="1">
      <c r="A1464" s="178" t="str">
        <f t="shared" si="44"/>
        <v>00/01/yyyy738</v>
      </c>
      <c r="B1464" s="171">
        <f t="shared" si="45"/>
        <v>738</v>
      </c>
    </row>
    <row r="1465" spans="1:2" ht="30" customHeight="1">
      <c r="A1465" s="178" t="str">
        <f t="shared" si="44"/>
        <v>00/01/yyyy739</v>
      </c>
      <c r="B1465" s="171">
        <f t="shared" si="45"/>
        <v>739</v>
      </c>
    </row>
    <row r="1466" spans="1:2" ht="30" customHeight="1">
      <c r="A1466" s="178" t="str">
        <f t="shared" si="44"/>
        <v>00/01/yyyy740</v>
      </c>
      <c r="B1466" s="171">
        <f t="shared" si="45"/>
        <v>740</v>
      </c>
    </row>
    <row r="1467" spans="1:2" ht="30" customHeight="1">
      <c r="A1467" s="178" t="str">
        <f t="shared" si="44"/>
        <v>00/01/yyyy741</v>
      </c>
      <c r="B1467" s="171">
        <f t="shared" si="45"/>
        <v>741</v>
      </c>
    </row>
    <row r="1468" spans="1:2" ht="30" customHeight="1">
      <c r="A1468" s="178" t="str">
        <f t="shared" si="44"/>
        <v>00/01/yyyy742</v>
      </c>
      <c r="B1468" s="171">
        <f t="shared" si="45"/>
        <v>742</v>
      </c>
    </row>
    <row r="1469" spans="1:2" ht="30" customHeight="1">
      <c r="A1469" s="178" t="str">
        <f t="shared" si="44"/>
        <v>00/01/yyyy743</v>
      </c>
      <c r="B1469" s="171">
        <f t="shared" si="45"/>
        <v>743</v>
      </c>
    </row>
    <row r="1470" spans="1:2" ht="30" customHeight="1">
      <c r="A1470" s="178" t="str">
        <f t="shared" si="44"/>
        <v>00/01/yyyy744</v>
      </c>
      <c r="B1470" s="171">
        <f t="shared" si="45"/>
        <v>744</v>
      </c>
    </row>
    <row r="1471" spans="1:2" ht="30" customHeight="1">
      <c r="A1471" s="178" t="str">
        <f t="shared" si="44"/>
        <v>00/01/yyyy745</v>
      </c>
      <c r="B1471" s="171">
        <f t="shared" si="45"/>
        <v>745</v>
      </c>
    </row>
    <row r="1472" spans="1:2" ht="30" customHeight="1">
      <c r="A1472" s="178" t="str">
        <f t="shared" si="44"/>
        <v>00/01/yyyy746</v>
      </c>
      <c r="B1472" s="171">
        <f t="shared" si="45"/>
        <v>746</v>
      </c>
    </row>
    <row r="1473" spans="1:2" ht="30" customHeight="1">
      <c r="A1473" s="178" t="str">
        <f t="shared" si="44"/>
        <v>00/01/yyyy747</v>
      </c>
      <c r="B1473" s="171">
        <f t="shared" si="45"/>
        <v>747</v>
      </c>
    </row>
    <row r="1474" spans="1:2" ht="30" customHeight="1">
      <c r="A1474" s="178" t="str">
        <f t="shared" si="44"/>
        <v>00/01/yyyy748</v>
      </c>
      <c r="B1474" s="171">
        <f t="shared" si="45"/>
        <v>748</v>
      </c>
    </row>
    <row r="1475" spans="1:2" ht="30" customHeight="1">
      <c r="A1475" s="178" t="str">
        <f t="shared" ref="A1475:A1500" si="46">CONCATENATE(TEXT($G1475,"dd/mm/yyyy"),$B1475)</f>
        <v>00/01/yyyy749</v>
      </c>
      <c r="B1475" s="171">
        <f t="shared" si="45"/>
        <v>749</v>
      </c>
    </row>
    <row r="1476" spans="1:2" ht="30" customHeight="1">
      <c r="A1476" s="178" t="str">
        <f t="shared" si="46"/>
        <v>00/01/yyyy750</v>
      </c>
      <c r="B1476" s="171">
        <f t="shared" ref="B1476:B1500" si="47">IF($G1476=$G1475,$B1475+1,1)</f>
        <v>750</v>
      </c>
    </row>
    <row r="1477" spans="1:2" ht="30" customHeight="1">
      <c r="A1477" s="178" t="str">
        <f t="shared" si="46"/>
        <v>00/01/yyyy751</v>
      </c>
      <c r="B1477" s="171">
        <f t="shared" si="47"/>
        <v>751</v>
      </c>
    </row>
    <row r="1478" spans="1:2" ht="30" customHeight="1">
      <c r="A1478" s="178" t="str">
        <f t="shared" si="46"/>
        <v>00/01/yyyy752</v>
      </c>
      <c r="B1478" s="171">
        <f t="shared" si="47"/>
        <v>752</v>
      </c>
    </row>
    <row r="1479" spans="1:2" ht="30" customHeight="1">
      <c r="A1479" s="178" t="str">
        <f t="shared" si="46"/>
        <v>00/01/yyyy753</v>
      </c>
      <c r="B1479" s="171">
        <f t="shared" si="47"/>
        <v>753</v>
      </c>
    </row>
    <row r="1480" spans="1:2" ht="30" customHeight="1">
      <c r="A1480" s="178" t="str">
        <f t="shared" si="46"/>
        <v>00/01/yyyy754</v>
      </c>
      <c r="B1480" s="171">
        <f t="shared" si="47"/>
        <v>754</v>
      </c>
    </row>
    <row r="1481" spans="1:2" ht="30" customHeight="1">
      <c r="A1481" s="178" t="str">
        <f t="shared" si="46"/>
        <v>00/01/yyyy755</v>
      </c>
      <c r="B1481" s="171">
        <f t="shared" si="47"/>
        <v>755</v>
      </c>
    </row>
    <row r="1482" spans="1:2" ht="30" customHeight="1">
      <c r="A1482" s="178" t="str">
        <f t="shared" si="46"/>
        <v>00/01/yyyy756</v>
      </c>
      <c r="B1482" s="171">
        <f t="shared" si="47"/>
        <v>756</v>
      </c>
    </row>
    <row r="1483" spans="1:2" ht="30" customHeight="1">
      <c r="A1483" s="178" t="str">
        <f t="shared" si="46"/>
        <v>00/01/yyyy757</v>
      </c>
      <c r="B1483" s="171">
        <f t="shared" si="47"/>
        <v>757</v>
      </c>
    </row>
    <row r="1484" spans="1:2" ht="30" customHeight="1">
      <c r="A1484" s="178" t="str">
        <f t="shared" si="46"/>
        <v>00/01/yyyy758</v>
      </c>
      <c r="B1484" s="171">
        <f t="shared" si="47"/>
        <v>758</v>
      </c>
    </row>
    <row r="1485" spans="1:2" ht="30" customHeight="1">
      <c r="A1485" s="178" t="str">
        <f t="shared" si="46"/>
        <v>00/01/yyyy759</v>
      </c>
      <c r="B1485" s="171">
        <f t="shared" si="47"/>
        <v>759</v>
      </c>
    </row>
    <row r="1486" spans="1:2" ht="30" customHeight="1">
      <c r="A1486" s="178" t="str">
        <f t="shared" si="46"/>
        <v>00/01/yyyy760</v>
      </c>
      <c r="B1486" s="171">
        <f t="shared" si="47"/>
        <v>760</v>
      </c>
    </row>
    <row r="1487" spans="1:2" ht="30" customHeight="1">
      <c r="A1487" s="178" t="str">
        <f t="shared" si="46"/>
        <v>00/01/yyyy761</v>
      </c>
      <c r="B1487" s="171">
        <f t="shared" si="47"/>
        <v>761</v>
      </c>
    </row>
    <row r="1488" spans="1:2" ht="30" customHeight="1">
      <c r="A1488" s="178" t="str">
        <f t="shared" si="46"/>
        <v>00/01/yyyy762</v>
      </c>
      <c r="B1488" s="171">
        <f t="shared" si="47"/>
        <v>762</v>
      </c>
    </row>
    <row r="1489" spans="1:2" ht="30" customHeight="1">
      <c r="A1489" s="178" t="str">
        <f t="shared" si="46"/>
        <v>00/01/yyyy763</v>
      </c>
      <c r="B1489" s="171">
        <f t="shared" si="47"/>
        <v>763</v>
      </c>
    </row>
    <row r="1490" spans="1:2" ht="30" customHeight="1">
      <c r="A1490" s="178" t="str">
        <f t="shared" si="46"/>
        <v>00/01/yyyy764</v>
      </c>
      <c r="B1490" s="171">
        <f t="shared" si="47"/>
        <v>764</v>
      </c>
    </row>
    <row r="1491" spans="1:2" ht="30" customHeight="1">
      <c r="A1491" s="178" t="str">
        <f t="shared" si="46"/>
        <v>00/01/yyyy765</v>
      </c>
      <c r="B1491" s="171">
        <f t="shared" si="47"/>
        <v>765</v>
      </c>
    </row>
    <row r="1492" spans="1:2" ht="30" customHeight="1">
      <c r="A1492" s="178" t="str">
        <f t="shared" si="46"/>
        <v>00/01/yyyy766</v>
      </c>
      <c r="B1492" s="171">
        <f t="shared" si="47"/>
        <v>766</v>
      </c>
    </row>
    <row r="1493" spans="1:2" ht="30" customHeight="1">
      <c r="A1493" s="178" t="str">
        <f t="shared" si="46"/>
        <v>00/01/yyyy767</v>
      </c>
      <c r="B1493" s="171">
        <f t="shared" si="47"/>
        <v>767</v>
      </c>
    </row>
    <row r="1494" spans="1:2" ht="30" customHeight="1">
      <c r="A1494" s="178" t="str">
        <f t="shared" si="46"/>
        <v>00/01/yyyy768</v>
      </c>
      <c r="B1494" s="171">
        <f t="shared" si="47"/>
        <v>768</v>
      </c>
    </row>
    <row r="1495" spans="1:2" ht="30" customHeight="1">
      <c r="A1495" s="178" t="str">
        <f t="shared" si="46"/>
        <v>00/01/yyyy769</v>
      </c>
      <c r="B1495" s="171">
        <f t="shared" si="47"/>
        <v>769</v>
      </c>
    </row>
    <row r="1496" spans="1:2" ht="30" customHeight="1">
      <c r="A1496" s="178" t="str">
        <f t="shared" si="46"/>
        <v>00/01/yyyy770</v>
      </c>
      <c r="B1496" s="171">
        <f t="shared" si="47"/>
        <v>770</v>
      </c>
    </row>
    <row r="1497" spans="1:2" ht="30" customHeight="1">
      <c r="A1497" s="178" t="str">
        <f t="shared" si="46"/>
        <v>00/01/yyyy771</v>
      </c>
      <c r="B1497" s="171">
        <f t="shared" si="47"/>
        <v>771</v>
      </c>
    </row>
    <row r="1498" spans="1:2" ht="30" customHeight="1">
      <c r="A1498" s="178" t="str">
        <f t="shared" si="46"/>
        <v>00/01/yyyy772</v>
      </c>
      <c r="B1498" s="171">
        <f t="shared" si="47"/>
        <v>772</v>
      </c>
    </row>
    <row r="1499" spans="1:2" ht="30" customHeight="1">
      <c r="A1499" s="178" t="str">
        <f t="shared" si="46"/>
        <v>00/01/yyyy773</v>
      </c>
      <c r="B1499" s="171">
        <f t="shared" si="47"/>
        <v>773</v>
      </c>
    </row>
    <row r="1500" spans="1:2" ht="30" customHeight="1">
      <c r="A1500" s="178" t="str">
        <f t="shared" si="46"/>
        <v>00/01/yyyy774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8" priority="48">
      <formula>"SI(P115=""HOY"")"</formula>
    </cfRule>
  </conditionalFormatting>
  <conditionalFormatting sqref="C113:I113 K113:L113">
    <cfRule type="expression" dxfId="47" priority="47">
      <formula>"SI(P115=""HOY"")"</formula>
    </cfRule>
  </conditionalFormatting>
  <conditionalFormatting sqref="C113:I113 K113:L113">
    <cfRule type="expression" dxfId="46" priority="46">
      <formula>"SI(P115=""HOY"")"</formula>
    </cfRule>
  </conditionalFormatting>
  <conditionalFormatting sqref="C113:I113 K113:L113">
    <cfRule type="expression" dxfId="45" priority="45">
      <formula>"SI(P115=""HOY"")"</formula>
    </cfRule>
  </conditionalFormatting>
  <conditionalFormatting sqref="C113:I113 K113:L113">
    <cfRule type="expression" dxfId="44" priority="44">
      <formula>"SI(P115=""HOY"")"</formula>
    </cfRule>
  </conditionalFormatting>
  <conditionalFormatting sqref="C113:I113 K113:L113">
    <cfRule type="expression" dxfId="43" priority="43">
      <formula>"SI(P115=""HOY"")"</formula>
    </cfRule>
  </conditionalFormatting>
  <conditionalFormatting sqref="C113:I113 K113:L113">
    <cfRule type="expression" dxfId="42" priority="42">
      <formula>"SI(P115=""HOY"")"</formula>
    </cfRule>
  </conditionalFormatting>
  <conditionalFormatting sqref="C113:I113 K113:L113">
    <cfRule type="expression" dxfId="41" priority="41">
      <formula>"SI(P115=""HOY"")"</formula>
    </cfRule>
  </conditionalFormatting>
  <conditionalFormatting sqref="C113:I113 K113:L113">
    <cfRule type="expression" dxfId="40" priority="40">
      <formula>"SI(P115=""HOY"")"</formula>
    </cfRule>
  </conditionalFormatting>
  <conditionalFormatting sqref="C113:I113 K113:L113">
    <cfRule type="expression" dxfId="39" priority="39">
      <formula>"SI(P115=""HOY"")"</formula>
    </cfRule>
  </conditionalFormatting>
  <conditionalFormatting sqref="C113:I113 K113:L113">
    <cfRule type="expression" dxfId="38" priority="38">
      <formula>"SI(P115=""HOY"")"</formula>
    </cfRule>
  </conditionalFormatting>
  <conditionalFormatting sqref="C113:I113 K113:L113">
    <cfRule type="expression" dxfId="37" priority="37">
      <formula>"SI(P115=""HOY"")"</formula>
    </cfRule>
  </conditionalFormatting>
  <conditionalFormatting sqref="C113:I113 K113:L113">
    <cfRule type="expression" dxfId="36" priority="36">
      <formula>"SI(P115=""HOY"")"</formula>
    </cfRule>
  </conditionalFormatting>
  <conditionalFormatting sqref="C113:I113 K113:L113">
    <cfRule type="expression" dxfId="35" priority="35">
      <formula>"SI(P115=""HOY"")"</formula>
    </cfRule>
  </conditionalFormatting>
  <conditionalFormatting sqref="C113:I113 K113:L113">
    <cfRule type="expression" dxfId="34" priority="34">
      <formula>"SI(P115=""HOY"")"</formula>
    </cfRule>
  </conditionalFormatting>
  <conditionalFormatting sqref="C113:I113 K113:L113">
    <cfRule type="expression" dxfId="33" priority="33">
      <formula>"SI(P115=""HOY"")"</formula>
    </cfRule>
  </conditionalFormatting>
  <conditionalFormatting sqref="C113:I113 K113:L113">
    <cfRule type="expression" dxfId="32" priority="32">
      <formula>"SI(P115=""HOY"")"</formula>
    </cfRule>
  </conditionalFormatting>
  <conditionalFormatting sqref="C113:I113 K113:L113">
    <cfRule type="expression" dxfId="31" priority="31">
      <formula>"SI(P115=""HOY"")"</formula>
    </cfRule>
  </conditionalFormatting>
  <conditionalFormatting sqref="C113:I113 K113:L113">
    <cfRule type="expression" dxfId="30" priority="30">
      <formula>"SI(P115=""HOY"")"</formula>
    </cfRule>
  </conditionalFormatting>
  <conditionalFormatting sqref="C113:I113 K113:L113">
    <cfRule type="expression" dxfId="29" priority="29">
      <formula>"SI(P115=""HOY"")"</formula>
    </cfRule>
  </conditionalFormatting>
  <conditionalFormatting sqref="C113:I113 K113:L113">
    <cfRule type="expression" dxfId="28" priority="28">
      <formula>"SI(P115=""HOY"")"</formula>
    </cfRule>
  </conditionalFormatting>
  <conditionalFormatting sqref="C113:I113 K113:L113">
    <cfRule type="expression" dxfId="27" priority="27">
      <formula>"SI(P115=""HOY"")"</formula>
    </cfRule>
  </conditionalFormatting>
  <conditionalFormatting sqref="C113:I113 K113:L113">
    <cfRule type="expression" dxfId="26" priority="26">
      <formula>"SI(P115=""HOY"")"</formula>
    </cfRule>
  </conditionalFormatting>
  <conditionalFormatting sqref="C113:I113 K113:L113">
    <cfRule type="expression" dxfId="25" priority="25">
      <formula>"SI(P115=""HOY"")"</formula>
    </cfRule>
  </conditionalFormatting>
  <conditionalFormatting sqref="C113:I113 K113:L113">
    <cfRule type="expression" dxfId="24" priority="24">
      <formula>"SI(P115=""HOY"")"</formula>
    </cfRule>
  </conditionalFormatting>
  <conditionalFormatting sqref="C113:I113 K113:L113">
    <cfRule type="expression" dxfId="23" priority="23">
      <formula>"SI(P115=""HOY"")"</formula>
    </cfRule>
  </conditionalFormatting>
  <conditionalFormatting sqref="C113:I113 K113:L113">
    <cfRule type="expression" dxfId="22" priority="22">
      <formula>"SI(P115=""HOY"")"</formula>
    </cfRule>
  </conditionalFormatting>
  <conditionalFormatting sqref="C113:I113 K113:L113">
    <cfRule type="expression" dxfId="21" priority="21">
      <formula>"SI(P115=""HOY"")"</formula>
    </cfRule>
  </conditionalFormatting>
  <conditionalFormatting sqref="C113:I113 K113:L113">
    <cfRule type="expression" dxfId="20" priority="20">
      <formula>"SI(P115=""HOY"")"</formula>
    </cfRule>
  </conditionalFormatting>
  <conditionalFormatting sqref="C113:I113 K113:L113">
    <cfRule type="expression" dxfId="19" priority="19">
      <formula>"SI(P115=""HOY"")"</formula>
    </cfRule>
  </conditionalFormatting>
  <conditionalFormatting sqref="C113:I113 K113:L113">
    <cfRule type="expression" dxfId="18" priority="18">
      <formula>"SI(P115=""HOY"")"</formula>
    </cfRule>
  </conditionalFormatting>
  <conditionalFormatting sqref="C113:I113 K113:L113">
    <cfRule type="expression" dxfId="17" priority="17">
      <formula>"SI(P115=""HOY"")"</formula>
    </cfRule>
  </conditionalFormatting>
  <conditionalFormatting sqref="C113:I113 K113:L113">
    <cfRule type="expression" dxfId="16" priority="16">
      <formula>"SI(P115=""HOY"")"</formula>
    </cfRule>
  </conditionalFormatting>
  <conditionalFormatting sqref="C113:I113 K113:L113">
    <cfRule type="expression" dxfId="15" priority="15">
      <formula>"SI(P115=""HOY"")"</formula>
    </cfRule>
  </conditionalFormatting>
  <conditionalFormatting sqref="C113:I113 K113:L113">
    <cfRule type="expression" dxfId="14" priority="14">
      <formula>"SI(P115=""HOY"")"</formula>
    </cfRule>
  </conditionalFormatting>
  <conditionalFormatting sqref="C113:I113 K113:L113">
    <cfRule type="expression" dxfId="13" priority="13">
      <formula>"SI(P115=""HOY"")"</formula>
    </cfRule>
  </conditionalFormatting>
  <conditionalFormatting sqref="C113:I113 K113:L113">
    <cfRule type="expression" dxfId="12" priority="12">
      <formula>"SI(P115=""HOY"")"</formula>
    </cfRule>
  </conditionalFormatting>
  <conditionalFormatting sqref="C113:I113 K113:L113">
    <cfRule type="expression" dxfId="11" priority="11">
      <formula>"SI(P115=""HOY"")"</formula>
    </cfRule>
  </conditionalFormatting>
  <conditionalFormatting sqref="C113:I113 K113:L113">
    <cfRule type="expression" dxfId="10" priority="10">
      <formula>"SI(P115=""HOY"")"</formula>
    </cfRule>
  </conditionalFormatting>
  <conditionalFormatting sqref="C113:I113 K113:L113">
    <cfRule type="expression" dxfId="9" priority="9">
      <formula>"SI(P115=""HOY"")"</formula>
    </cfRule>
  </conditionalFormatting>
  <conditionalFormatting sqref="C113:I113 K113:L113">
    <cfRule type="expression" dxfId="8" priority="8">
      <formula>"SI(P115=""HOY"")"</formula>
    </cfRule>
  </conditionalFormatting>
  <conditionalFormatting sqref="C113:I113 K113:L113">
    <cfRule type="expression" dxfId="7" priority="7">
      <formula>"SI(P115=""HOY"")"</formula>
    </cfRule>
  </conditionalFormatting>
  <conditionalFormatting sqref="C113:I113 K113:L113">
    <cfRule type="expression" dxfId="6" priority="6">
      <formula>"SI(P115=""HOY"")"</formula>
    </cfRule>
  </conditionalFormatting>
  <conditionalFormatting sqref="C113:I113 K113:L113">
    <cfRule type="expression" dxfId="5" priority="5">
      <formula>"SI(P115=""HOY"")"</formula>
    </cfRule>
  </conditionalFormatting>
  <conditionalFormatting sqref="C113:I113 K113:L113">
    <cfRule type="expression" dxfId="4" priority="4">
      <formula>"SI(P115=""HOY"")"</formula>
    </cfRule>
  </conditionalFormatting>
  <conditionalFormatting sqref="C113:I113 K113:L113">
    <cfRule type="expression" dxfId="3" priority="3">
      <formula>"SI(P115=""HOY"")"</formula>
    </cfRule>
  </conditionalFormatting>
  <conditionalFormatting sqref="C113:I113 K113:L113">
    <cfRule type="expression" dxfId="2" priority="2">
      <formula>"SI(P115=""HOY"")"</formula>
    </cfRule>
  </conditionalFormatting>
  <conditionalFormatting sqref="C113:I113 K113:L113">
    <cfRule type="expression" dxfId="1"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delacruz</cp:lastModifiedBy>
  <cp:lastPrinted>2023-11-16T15:14:08Z</cp:lastPrinted>
  <dcterms:created xsi:type="dcterms:W3CDTF">2023-02-23T14:47:20Z</dcterms:created>
  <dcterms:modified xsi:type="dcterms:W3CDTF">2023-11-16T17:23:33Z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